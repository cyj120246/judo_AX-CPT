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10097"/>
  </bookViews>
  <sheets>
    <sheet name="实验材料" sheetId="2" r:id="rId1"/>
    <sheet name="实验条件" sheetId="6" r:id="rId2"/>
    <sheet name="运教关系" sheetId="7" r:id="rId3"/>
    <sheet name="教练员领导方式" sheetId="8" r:id="rId4"/>
    <sheet name="动机" sheetId="9" r:id="rId5"/>
  </sheets>
  <definedNames>
    <definedName name="_xlnm._FilterDatabase" localSheetId="0" hidden="1">实验材料!$A$2:$M$35</definedName>
  </definedNames>
  <calcPr calcId="144525"/>
</workbook>
</file>

<file path=xl/sharedStrings.xml><?xml version="1.0" encoding="utf-8"?>
<sst xmlns="http://schemas.openxmlformats.org/spreadsheetml/2006/main" count="404" uniqueCount="141">
  <si>
    <t>以下语句是您对教练面孔和教练语言反馈的感受评价。（1=最弱，7=最强）</t>
  </si>
  <si>
    <t>编号</t>
  </si>
  <si>
    <t>姓名</t>
  </si>
  <si>
    <t>面孔辨识度</t>
  </si>
  <si>
    <t>面孔情绪状态</t>
  </si>
  <si>
    <t>面孔激励度</t>
  </si>
  <si>
    <t>评价熟悉度</t>
  </si>
  <si>
    <t>评价激励度</t>
  </si>
  <si>
    <t>1</t>
  </si>
  <si>
    <t>周俊芝</t>
  </si>
  <si>
    <t>2</t>
  </si>
  <si>
    <t>景叶涵</t>
  </si>
  <si>
    <t>3</t>
  </si>
  <si>
    <t>任晓春</t>
  </si>
  <si>
    <t>4</t>
  </si>
  <si>
    <t>余佳玉</t>
  </si>
  <si>
    <t>5</t>
  </si>
  <si>
    <t>夏梦轩</t>
  </si>
  <si>
    <t>6</t>
  </si>
  <si>
    <t>孙俊妍</t>
  </si>
  <si>
    <t>7</t>
  </si>
  <si>
    <t>易苏梅</t>
  </si>
  <si>
    <t>8</t>
  </si>
  <si>
    <t>王园园</t>
  </si>
  <si>
    <t>9</t>
  </si>
  <si>
    <t>屠文静</t>
  </si>
  <si>
    <t>10</t>
  </si>
  <si>
    <t>李文雅</t>
  </si>
  <si>
    <t>11</t>
  </si>
  <si>
    <t>何雨</t>
  </si>
  <si>
    <t>12</t>
  </si>
  <si>
    <t>申一杰</t>
  </si>
  <si>
    <t>13</t>
  </si>
  <si>
    <t>姚雨虹</t>
  </si>
  <si>
    <t>14</t>
  </si>
  <si>
    <t>龚睿瑜</t>
  </si>
  <si>
    <t>15</t>
  </si>
  <si>
    <t>孟嘉倪</t>
  </si>
  <si>
    <t>16</t>
  </si>
  <si>
    <t>王梦丽</t>
  </si>
  <si>
    <t>17</t>
  </si>
  <si>
    <t>韩瑞婷</t>
  </si>
  <si>
    <t>18</t>
  </si>
  <si>
    <t>周淼</t>
  </si>
  <si>
    <t>19</t>
  </si>
  <si>
    <t>李梦宇</t>
  </si>
  <si>
    <t>20</t>
  </si>
  <si>
    <t>袁慧婷</t>
  </si>
  <si>
    <t>21</t>
  </si>
  <si>
    <t>吕自濠</t>
  </si>
  <si>
    <t>22</t>
  </si>
  <si>
    <t>黄君豪</t>
  </si>
  <si>
    <t>23</t>
  </si>
  <si>
    <t>司崇山</t>
  </si>
  <si>
    <t>24</t>
  </si>
  <si>
    <t>胡振廷</t>
  </si>
  <si>
    <t>25</t>
  </si>
  <si>
    <t>丁普昊</t>
  </si>
  <si>
    <t>26</t>
  </si>
  <si>
    <t>贡东阳</t>
  </si>
  <si>
    <t>27</t>
  </si>
  <si>
    <t>徐子翔</t>
  </si>
  <si>
    <t>28</t>
  </si>
  <si>
    <t>相恒志</t>
  </si>
  <si>
    <t>29</t>
  </si>
  <si>
    <t>王江南</t>
  </si>
  <si>
    <t>30</t>
  </si>
  <si>
    <t>刘洋</t>
  </si>
  <si>
    <t>31</t>
  </si>
  <si>
    <t>王子瑞</t>
  </si>
  <si>
    <t>32</t>
  </si>
  <si>
    <t>潘明旭</t>
  </si>
  <si>
    <t>均值</t>
  </si>
  <si>
    <t>以下词语是对您此时此刻状态的描述。</t>
  </si>
  <si>
    <t>奖励-受鼓舞</t>
  </si>
  <si>
    <t>奖励-满意</t>
  </si>
  <si>
    <t>奖励-兴奋</t>
  </si>
  <si>
    <t>奖励-羞愧</t>
  </si>
  <si>
    <t>奖励-烦躁</t>
  </si>
  <si>
    <t>奖励-沮丧</t>
  </si>
  <si>
    <t>惩罚-受鼓舞</t>
  </si>
  <si>
    <t>惩罚-满意</t>
  </si>
  <si>
    <t>惩罚-兴奋</t>
  </si>
  <si>
    <t>惩罚-羞愧</t>
  </si>
  <si>
    <t>惩罚-烦躁</t>
  </si>
  <si>
    <t>惩罚-沮丧</t>
  </si>
  <si>
    <t>奖励积极</t>
  </si>
  <si>
    <t>奖励消极</t>
  </si>
  <si>
    <t>惩罚积极</t>
  </si>
  <si>
    <t>惩罚消极</t>
  </si>
  <si>
    <t>以下语句是描述您对教练的感觉。（1=完全不同意，5=完全同意）</t>
  </si>
  <si>
    <t>序号</t>
  </si>
  <si>
    <t>您的姓名：</t>
  </si>
  <si>
    <t>1.我喜欢我的教练</t>
  </si>
  <si>
    <t>2.我与教练的关系比较亲近</t>
  </si>
  <si>
    <t>3.当教练指导我时，我会做出积极回应</t>
  </si>
  <si>
    <t>4.当教练指导我时，我表现得比较友好</t>
  </si>
  <si>
    <t>5.我信任我的教练</t>
  </si>
  <si>
    <t>6.我忠于我的教练，我愿意和他保持长期合作关系</t>
  </si>
  <si>
    <t>7.跟我的教练在一起，我感到我的运动生涯充满了希望</t>
  </si>
  <si>
    <t>8.当教练指导我时，我觉得轻松</t>
  </si>
  <si>
    <t>9.我尊重我的教练</t>
  </si>
  <si>
    <t>10.当教练指导我时，我会全力以赴，力争做到最好</t>
  </si>
  <si>
    <t>11.我很感激教练为了提高我的运动成绩所作出的牺牲</t>
  </si>
  <si>
    <t>总分（55）</t>
  </si>
  <si>
    <t>以下语句是对教练员领导行为的描述。（1=完全不同意，5=完全同意）</t>
  </si>
  <si>
    <t>1.征求运动员对具体比赛策略的意见</t>
  </si>
  <si>
    <t>2.在决策重大事件时征询全队员的意见</t>
  </si>
  <si>
    <t>3.让运动员参与决策制订的过程</t>
  </si>
  <si>
    <t>4.鼓励运动员对指导训练的方法提出建议</t>
  </si>
  <si>
    <t>5.在重大的训练、比赛事宜上征求运动员的意见</t>
  </si>
  <si>
    <t>6.与运动员保持冷淡、疏远的态度</t>
  </si>
  <si>
    <t>7.在自己讲话时不喜欢运动员提出问题</t>
  </si>
  <si>
    <t>8.要求运动员无条件接受他（她）的意见</t>
  </si>
  <si>
    <t>9.以命令的口吻指导训练和比赛</t>
  </si>
  <si>
    <t>10.在队内事务上不允许别人参与决策</t>
  </si>
  <si>
    <t>民主型（25）</t>
  </si>
  <si>
    <t>专制型（25）</t>
  </si>
  <si>
    <t>1、我会尽其所能去得到我想要的东西</t>
  </si>
  <si>
    <t>2、当我把某件事情做得很好时，我会喜欢继续做它</t>
  </si>
  <si>
    <t>3、只要我觉得某件事情可能有趣，我就会去尝试它</t>
  </si>
  <si>
    <t>4、当我得到想要的事物时，我觉得很兴奋并充满能量</t>
  </si>
  <si>
    <t>5、被批评或指责会让我感到很难过</t>
  </si>
  <si>
    <t>6、当我想要某件东西时，我会想方设法去得到它</t>
  </si>
  <si>
    <t>7、我常只因为好玩或有趣就去做某些事</t>
  </si>
  <si>
    <t>8、当我有机会获得我想要的东西时，我会马上行动起来</t>
  </si>
  <si>
    <t>9、如果我想到或知道有人生我的气，我就觉得很紧张或心情不好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</si>
  <si>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、当有机会得到我想要的东西时，我会立刻兴奋起来</t>
    </r>
  </si>
  <si>
    <t>11、我常因一时冲动就行动</t>
  </si>
  <si>
    <r>
      <rPr>
        <sz val="10"/>
        <rFont val="Arial"/>
        <charset val="134"/>
      </rPr>
      <t>12</t>
    </r>
    <r>
      <rPr>
        <sz val="10"/>
        <rFont val="宋体"/>
        <charset val="134"/>
      </rPr>
      <t>、如果我觉得有不愉快的事情可能会发生，那我就会变得坐立不安</t>
    </r>
  </si>
  <si>
    <r>
      <rPr>
        <sz val="10"/>
        <rFont val="Arial"/>
        <charset val="134"/>
      </rPr>
      <t>13</t>
    </r>
    <r>
      <rPr>
        <sz val="10"/>
        <rFont val="宋体"/>
        <charset val="134"/>
      </rPr>
      <t>、有好事情发生在我身上时，我会受到很大的影响</t>
    </r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</si>
  <si>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、如果我想到没把某件事情做好，我就觉得紧张</t>
    </r>
  </si>
  <si>
    <r>
      <rPr>
        <sz val="10"/>
        <rFont val="Arial"/>
        <charset val="134"/>
      </rPr>
      <t>15</t>
    </r>
    <r>
      <rPr>
        <sz val="10"/>
        <rFont val="宋体"/>
        <charset val="134"/>
      </rPr>
      <t>、我喜欢刺激及新鲜感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</si>
  <si>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、我会以</t>
    </r>
    <r>
      <rPr>
        <sz val="10"/>
        <rFont val="Arial"/>
        <charset val="134"/>
      </rPr>
      <t>“</t>
    </r>
    <r>
      <rPr>
        <sz val="10"/>
        <rFont val="宋体"/>
        <charset val="134"/>
      </rPr>
      <t>排除万难</t>
    </r>
    <r>
      <rPr>
        <sz val="10"/>
        <rFont val="Arial"/>
        <charset val="134"/>
      </rPr>
      <t>”</t>
    </r>
    <r>
      <rPr>
        <sz val="10"/>
        <rFont val="宋体"/>
        <charset val="134"/>
      </rPr>
      <t>的态度追求我想要的东西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</si>
  <si>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、赢得比赛让我很兴奋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</si>
  <si>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、我担心我会犯错</t>
    </r>
  </si>
  <si>
    <t>奖赏反应</t>
  </si>
  <si>
    <t>驱力</t>
  </si>
  <si>
    <t>愉悦追求</t>
  </si>
  <si>
    <t>趋近动机</t>
  </si>
  <si>
    <t>回避动机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</si>
</sst>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17" fillId="17" borderId="1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/>
  </cellStyleXfs>
  <cellXfs count="34">
    <xf numFmtId="0" fontId="0" fillId="0" borderId="0" xfId="0">
      <alignment vertical="center"/>
    </xf>
    <xf numFmtId="0" fontId="1" fillId="2" borderId="0" xfId="49" applyFill="1" applyAlignment="1">
      <alignment horizontal="center" vertical="center"/>
    </xf>
    <xf numFmtId="0" fontId="2" fillId="0" borderId="0" xfId="49" applyFont="1" applyFill="1" applyAlignment="1">
      <alignment horizontal="left" vertical="center"/>
    </xf>
    <xf numFmtId="0" fontId="1" fillId="0" borderId="0" xfId="49" applyFill="1" applyAlignment="1">
      <alignment horizontal="left" vertical="center"/>
    </xf>
    <xf numFmtId="49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0" borderId="0" xfId="49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49" applyFont="1" applyFill="1" applyAlignment="1">
      <alignment horizontal="left" vertical="center"/>
    </xf>
    <xf numFmtId="0" fontId="2" fillId="3" borderId="0" xfId="49" applyFont="1" applyFill="1" applyAlignment="1">
      <alignment horizontal="center" vertical="center"/>
    </xf>
    <xf numFmtId="0" fontId="1" fillId="3" borderId="0" xfId="49" applyFill="1" applyAlignment="1">
      <alignment horizontal="center" vertical="center"/>
    </xf>
    <xf numFmtId="0" fontId="1" fillId="3" borderId="0" xfId="49" applyFill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4" borderId="0" xfId="49" applyFill="1" applyAlignment="1">
      <alignment horizontal="left" vertical="center"/>
    </xf>
    <xf numFmtId="0" fontId="1" fillId="0" borderId="0" xfId="49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4" borderId="0" xfId="49" applyFill="1" applyAlignment="1">
      <alignment horizontal="left"/>
    </xf>
    <xf numFmtId="0" fontId="1" fillId="0" borderId="0" xfId="49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4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78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B38" sqref="B38"/>
    </sheetView>
  </sheetViews>
  <sheetFormatPr defaultColWidth="8.61261261261261" defaultRowHeight="14.1"/>
  <cols>
    <col min="1" max="1" width="9.02702702702703" customWidth="1"/>
    <col min="2" max="2" width="9.57657657657658" customWidth="1"/>
    <col min="3" max="3" width="11.7477477477477" style="18" customWidth="1"/>
    <col min="4" max="4" width="14.5855855855856" style="18" customWidth="1"/>
    <col min="5" max="5" width="13.6666666666667" style="18" customWidth="1"/>
    <col min="6" max="6" width="14.5855855855856" style="18" customWidth="1"/>
    <col min="7" max="7" width="14.4324324324324" style="18" customWidth="1"/>
    <col min="8" max="8" width="8.6036036036036" customWidth="1"/>
    <col min="9" max="12" width="8.61261261261261" customWidth="1"/>
    <col min="13" max="13" width="12.7837837837838"/>
  </cols>
  <sheetData>
    <row r="1" spans="1:8">
      <c r="A1" s="13" t="s">
        <v>0</v>
      </c>
      <c r="B1" s="13"/>
      <c r="H1" s="13"/>
    </row>
    <row r="2" spans="1:13">
      <c r="A2" s="5" t="s">
        <v>1</v>
      </c>
      <c r="B2" s="5" t="s">
        <v>2</v>
      </c>
      <c r="C2" s="30" t="s">
        <v>3</v>
      </c>
      <c r="D2" s="30" t="s">
        <v>4</v>
      </c>
      <c r="E2" s="30" t="s">
        <v>5</v>
      </c>
      <c r="F2" s="31" t="s">
        <v>6</v>
      </c>
      <c r="G2" s="31" t="s">
        <v>7</v>
      </c>
      <c r="H2" s="13"/>
      <c r="I2" s="13"/>
      <c r="J2" s="13"/>
      <c r="K2" s="13"/>
      <c r="M2" s="33"/>
    </row>
    <row r="3" spans="1:13">
      <c r="A3" s="4" t="s">
        <v>8</v>
      </c>
      <c r="B3" s="5" t="s">
        <v>9</v>
      </c>
      <c r="C3" s="18">
        <v>7</v>
      </c>
      <c r="D3" s="18">
        <v>4</v>
      </c>
      <c r="E3" s="18">
        <v>7</v>
      </c>
      <c r="F3" s="32">
        <v>7</v>
      </c>
      <c r="G3" s="18">
        <v>7</v>
      </c>
      <c r="H3" s="13"/>
      <c r="I3" s="13"/>
      <c r="J3" s="13"/>
      <c r="K3" s="13"/>
      <c r="M3" s="33"/>
    </row>
    <row r="4" spans="1:13">
      <c r="A4" s="4" t="s">
        <v>10</v>
      </c>
      <c r="B4" s="5" t="s">
        <v>11</v>
      </c>
      <c r="C4" s="18">
        <v>7</v>
      </c>
      <c r="D4" s="18">
        <v>4</v>
      </c>
      <c r="E4" s="18">
        <v>7</v>
      </c>
      <c r="F4" s="32">
        <v>7</v>
      </c>
      <c r="G4" s="18">
        <v>7</v>
      </c>
      <c r="H4" s="13"/>
      <c r="I4" s="13"/>
      <c r="J4" s="13"/>
      <c r="K4" s="13"/>
      <c r="M4" s="33"/>
    </row>
    <row r="5" spans="1:13">
      <c r="A5" s="4" t="s">
        <v>12</v>
      </c>
      <c r="B5" s="5" t="s">
        <v>13</v>
      </c>
      <c r="C5" s="18">
        <v>7</v>
      </c>
      <c r="D5" s="18">
        <v>4</v>
      </c>
      <c r="E5" s="18">
        <v>6</v>
      </c>
      <c r="F5" s="32">
        <v>6</v>
      </c>
      <c r="G5" s="18">
        <v>6</v>
      </c>
      <c r="H5" s="13"/>
      <c r="I5" s="13"/>
      <c r="J5" s="13"/>
      <c r="K5" s="13"/>
      <c r="M5" s="33"/>
    </row>
    <row r="6" spans="1:13">
      <c r="A6" s="4" t="s">
        <v>14</v>
      </c>
      <c r="B6" s="5" t="s">
        <v>15</v>
      </c>
      <c r="C6" s="18">
        <v>7</v>
      </c>
      <c r="D6" s="18">
        <v>4</v>
      </c>
      <c r="E6" s="18">
        <v>7</v>
      </c>
      <c r="F6" s="32">
        <v>4</v>
      </c>
      <c r="G6" s="18">
        <v>6</v>
      </c>
      <c r="H6" s="13"/>
      <c r="I6" s="13"/>
      <c r="J6" s="13"/>
      <c r="K6" s="13"/>
      <c r="M6" s="33"/>
    </row>
    <row r="7" spans="1:7">
      <c r="A7" s="4" t="s">
        <v>16</v>
      </c>
      <c r="B7" s="5" t="s">
        <v>17</v>
      </c>
      <c r="C7" s="18">
        <v>7</v>
      </c>
      <c r="D7" s="18">
        <v>4</v>
      </c>
      <c r="E7" s="18">
        <v>7</v>
      </c>
      <c r="F7" s="18">
        <v>6</v>
      </c>
      <c r="G7" s="18">
        <v>7</v>
      </c>
    </row>
    <row r="8" spans="1:7">
      <c r="A8" s="4" t="s">
        <v>18</v>
      </c>
      <c r="B8" s="5" t="s">
        <v>19</v>
      </c>
      <c r="C8" s="18">
        <v>7</v>
      </c>
      <c r="D8" s="18">
        <v>5</v>
      </c>
      <c r="E8" s="18">
        <v>6</v>
      </c>
      <c r="F8" s="18">
        <v>6</v>
      </c>
      <c r="G8" s="18">
        <v>6</v>
      </c>
    </row>
    <row r="9" spans="1:7">
      <c r="A9" s="4" t="s">
        <v>20</v>
      </c>
      <c r="B9" s="5" t="s">
        <v>21</v>
      </c>
      <c r="C9" s="18">
        <v>7</v>
      </c>
      <c r="D9" s="18">
        <v>5</v>
      </c>
      <c r="E9" s="18">
        <v>5</v>
      </c>
      <c r="F9" s="18">
        <v>5</v>
      </c>
      <c r="G9" s="18">
        <v>5</v>
      </c>
    </row>
    <row r="10" spans="1:7">
      <c r="A10" s="4" t="s">
        <v>22</v>
      </c>
      <c r="B10" s="5" t="s">
        <v>23</v>
      </c>
      <c r="C10" s="18">
        <v>7</v>
      </c>
      <c r="D10" s="18">
        <v>4</v>
      </c>
      <c r="E10" s="18">
        <v>7</v>
      </c>
      <c r="F10" s="18">
        <v>7</v>
      </c>
      <c r="G10" s="18">
        <v>7</v>
      </c>
    </row>
    <row r="11" spans="1:7">
      <c r="A11" s="4" t="s">
        <v>24</v>
      </c>
      <c r="B11" s="5" t="s">
        <v>25</v>
      </c>
      <c r="C11" s="18">
        <v>7</v>
      </c>
      <c r="D11" s="18">
        <v>5</v>
      </c>
      <c r="E11" s="18">
        <v>7</v>
      </c>
      <c r="F11" s="18">
        <v>7</v>
      </c>
      <c r="G11" s="18">
        <v>7</v>
      </c>
    </row>
    <row r="12" spans="1:7">
      <c r="A12" s="4" t="s">
        <v>26</v>
      </c>
      <c r="B12" s="5" t="s">
        <v>27</v>
      </c>
      <c r="C12" s="18">
        <v>7</v>
      </c>
      <c r="D12" s="18">
        <v>4</v>
      </c>
      <c r="E12" s="18">
        <v>5</v>
      </c>
      <c r="F12" s="18">
        <v>6</v>
      </c>
      <c r="G12" s="18">
        <v>7</v>
      </c>
    </row>
    <row r="13" spans="1:7">
      <c r="A13" s="4" t="s">
        <v>28</v>
      </c>
      <c r="B13" s="5" t="s">
        <v>29</v>
      </c>
      <c r="C13" s="18">
        <v>7</v>
      </c>
      <c r="D13" s="18">
        <v>4</v>
      </c>
      <c r="E13" s="18">
        <v>6</v>
      </c>
      <c r="F13" s="18">
        <v>7</v>
      </c>
      <c r="G13" s="18">
        <v>7</v>
      </c>
    </row>
    <row r="14" spans="1:7">
      <c r="A14" s="4" t="s">
        <v>30</v>
      </c>
      <c r="B14" s="5" t="s">
        <v>31</v>
      </c>
      <c r="C14" s="18">
        <v>7</v>
      </c>
      <c r="D14" s="18">
        <v>4</v>
      </c>
      <c r="E14" s="18">
        <v>5</v>
      </c>
      <c r="F14" s="18">
        <v>7</v>
      </c>
      <c r="G14" s="18">
        <v>5</v>
      </c>
    </row>
    <row r="15" spans="1:7">
      <c r="A15" s="4" t="s">
        <v>32</v>
      </c>
      <c r="B15" s="5" t="s">
        <v>33</v>
      </c>
      <c r="C15" s="18">
        <v>7</v>
      </c>
      <c r="D15" s="18">
        <v>4</v>
      </c>
      <c r="E15" s="18">
        <v>1</v>
      </c>
      <c r="F15" s="18">
        <v>7</v>
      </c>
      <c r="G15" s="18">
        <v>4</v>
      </c>
    </row>
    <row r="16" spans="1:7">
      <c r="A16" s="4" t="s">
        <v>34</v>
      </c>
      <c r="B16" s="5" t="s">
        <v>35</v>
      </c>
      <c r="C16" s="18">
        <v>6</v>
      </c>
      <c r="D16" s="18">
        <v>5</v>
      </c>
      <c r="E16" s="18">
        <v>5</v>
      </c>
      <c r="F16" s="18">
        <v>5</v>
      </c>
      <c r="G16" s="18">
        <v>5</v>
      </c>
    </row>
    <row r="17" spans="1:7">
      <c r="A17" s="4" t="s">
        <v>36</v>
      </c>
      <c r="B17" s="5" t="s">
        <v>37</v>
      </c>
      <c r="C17" s="18">
        <v>7</v>
      </c>
      <c r="D17" s="18">
        <v>4</v>
      </c>
      <c r="E17" s="18">
        <v>5</v>
      </c>
      <c r="F17" s="18">
        <v>6</v>
      </c>
      <c r="G17" s="18">
        <v>5</v>
      </c>
    </row>
    <row r="18" spans="1:7">
      <c r="A18" s="4" t="s">
        <v>38</v>
      </c>
      <c r="B18" s="5" t="s">
        <v>39</v>
      </c>
      <c r="C18" s="18">
        <v>7</v>
      </c>
      <c r="D18" s="18">
        <v>7</v>
      </c>
      <c r="E18" s="18">
        <v>6</v>
      </c>
      <c r="F18" s="18">
        <v>7</v>
      </c>
      <c r="G18" s="18">
        <v>6</v>
      </c>
    </row>
    <row r="19" spans="1:7">
      <c r="A19" s="4" t="s">
        <v>40</v>
      </c>
      <c r="B19" s="5" t="s">
        <v>41</v>
      </c>
      <c r="C19" s="18">
        <v>7</v>
      </c>
      <c r="D19" s="18">
        <v>5</v>
      </c>
      <c r="E19" s="18">
        <v>6</v>
      </c>
      <c r="F19" s="18">
        <v>6</v>
      </c>
      <c r="G19" s="18">
        <v>5</v>
      </c>
    </row>
    <row r="20" spans="1:7">
      <c r="A20" s="4" t="s">
        <v>42</v>
      </c>
      <c r="B20" s="5" t="s">
        <v>43</v>
      </c>
      <c r="C20" s="18">
        <v>6</v>
      </c>
      <c r="D20" s="18">
        <v>4</v>
      </c>
      <c r="E20" s="18">
        <v>5</v>
      </c>
      <c r="F20" s="18">
        <v>4</v>
      </c>
      <c r="G20" s="18">
        <v>5</v>
      </c>
    </row>
    <row r="21" spans="1:7">
      <c r="A21" s="4" t="s">
        <v>44</v>
      </c>
      <c r="B21" s="5" t="s">
        <v>45</v>
      </c>
      <c r="C21" s="18">
        <v>6</v>
      </c>
      <c r="D21" s="18">
        <v>4</v>
      </c>
      <c r="E21" s="18">
        <v>4</v>
      </c>
      <c r="F21" s="18">
        <v>3</v>
      </c>
      <c r="G21" s="18">
        <v>3</v>
      </c>
    </row>
    <row r="22" spans="1:7">
      <c r="A22" s="4" t="s">
        <v>46</v>
      </c>
      <c r="B22" s="5" t="s">
        <v>47</v>
      </c>
      <c r="C22" s="18">
        <v>7</v>
      </c>
      <c r="D22" s="18">
        <v>4</v>
      </c>
      <c r="E22" s="18">
        <v>5</v>
      </c>
      <c r="F22" s="18">
        <v>7</v>
      </c>
      <c r="G22" s="18">
        <v>7</v>
      </c>
    </row>
    <row r="23" spans="1:7">
      <c r="A23" s="4" t="s">
        <v>48</v>
      </c>
      <c r="B23" s="5" t="s">
        <v>49</v>
      </c>
      <c r="C23" s="18">
        <v>6</v>
      </c>
      <c r="D23" s="18">
        <v>4</v>
      </c>
      <c r="E23" s="18">
        <v>5</v>
      </c>
      <c r="F23" s="18">
        <v>5</v>
      </c>
      <c r="G23" s="18">
        <v>4</v>
      </c>
    </row>
    <row r="24" spans="1:7">
      <c r="A24" s="4" t="s">
        <v>50</v>
      </c>
      <c r="B24" s="5" t="s">
        <v>51</v>
      </c>
      <c r="C24" s="18">
        <v>7</v>
      </c>
      <c r="D24" s="18">
        <v>5</v>
      </c>
      <c r="E24" s="18">
        <v>7</v>
      </c>
      <c r="F24" s="18">
        <v>7</v>
      </c>
      <c r="G24" s="18">
        <v>7</v>
      </c>
    </row>
    <row r="25" spans="1:7">
      <c r="A25" s="4" t="s">
        <v>52</v>
      </c>
      <c r="B25" s="5" t="s">
        <v>53</v>
      </c>
      <c r="C25" s="18">
        <v>7</v>
      </c>
      <c r="D25" s="18">
        <v>4</v>
      </c>
      <c r="E25" s="18">
        <v>7</v>
      </c>
      <c r="F25" s="18">
        <v>3</v>
      </c>
      <c r="G25" s="18">
        <v>7</v>
      </c>
    </row>
    <row r="26" spans="1:7">
      <c r="A26" s="4" t="s">
        <v>54</v>
      </c>
      <c r="B26" s="5" t="s">
        <v>55</v>
      </c>
      <c r="C26" s="18">
        <v>7</v>
      </c>
      <c r="D26" s="18">
        <v>4</v>
      </c>
      <c r="E26" s="18">
        <v>7</v>
      </c>
      <c r="F26" s="18">
        <v>7</v>
      </c>
      <c r="G26" s="18">
        <v>7</v>
      </c>
    </row>
    <row r="27" spans="1:7">
      <c r="A27" s="4" t="s">
        <v>56</v>
      </c>
      <c r="B27" s="5" t="s">
        <v>57</v>
      </c>
      <c r="C27" s="18">
        <v>7</v>
      </c>
      <c r="D27" s="18">
        <v>4</v>
      </c>
      <c r="E27" s="18">
        <v>4</v>
      </c>
      <c r="F27" s="18">
        <v>7</v>
      </c>
      <c r="G27" s="18">
        <v>4</v>
      </c>
    </row>
    <row r="28" spans="1:7">
      <c r="A28" s="4" t="s">
        <v>58</v>
      </c>
      <c r="B28" s="5" t="s">
        <v>59</v>
      </c>
      <c r="C28" s="18">
        <v>7</v>
      </c>
      <c r="D28" s="18">
        <v>4</v>
      </c>
      <c r="E28" s="18">
        <v>7</v>
      </c>
      <c r="F28" s="18">
        <v>7</v>
      </c>
      <c r="G28" s="18">
        <v>7</v>
      </c>
    </row>
    <row r="29" spans="1:7">
      <c r="A29" s="4" t="s">
        <v>60</v>
      </c>
      <c r="B29" s="5" t="s">
        <v>61</v>
      </c>
      <c r="C29" s="18">
        <v>7</v>
      </c>
      <c r="D29" s="18">
        <v>6</v>
      </c>
      <c r="E29" s="18">
        <v>5</v>
      </c>
      <c r="F29" s="18">
        <v>5</v>
      </c>
      <c r="G29" s="18">
        <v>6</v>
      </c>
    </row>
    <row r="30" spans="1:7">
      <c r="A30" s="4" t="s">
        <v>62</v>
      </c>
      <c r="B30" s="5" t="s">
        <v>63</v>
      </c>
      <c r="C30" s="18">
        <v>7</v>
      </c>
      <c r="D30" s="18">
        <v>6</v>
      </c>
      <c r="E30" s="18">
        <v>6</v>
      </c>
      <c r="F30" s="18">
        <v>7</v>
      </c>
      <c r="G30" s="18">
        <v>6</v>
      </c>
    </row>
    <row r="31" spans="1:7">
      <c r="A31" s="4" t="s">
        <v>64</v>
      </c>
      <c r="B31" s="5" t="s">
        <v>65</v>
      </c>
      <c r="C31" s="18">
        <v>7</v>
      </c>
      <c r="D31" s="18">
        <v>5</v>
      </c>
      <c r="E31" s="18">
        <v>5</v>
      </c>
      <c r="F31" s="18">
        <v>7</v>
      </c>
      <c r="G31" s="18">
        <v>7</v>
      </c>
    </row>
    <row r="32" spans="1:7">
      <c r="A32" s="4" t="s">
        <v>66</v>
      </c>
      <c r="B32" s="5" t="s">
        <v>67</v>
      </c>
      <c r="C32" s="18">
        <v>7</v>
      </c>
      <c r="D32" s="18">
        <v>6</v>
      </c>
      <c r="E32" s="18">
        <v>6</v>
      </c>
      <c r="F32" s="18">
        <v>7</v>
      </c>
      <c r="G32" s="18">
        <v>6</v>
      </c>
    </row>
    <row r="33" spans="1:7">
      <c r="A33" s="4" t="s">
        <v>68</v>
      </c>
      <c r="B33" s="5" t="s">
        <v>69</v>
      </c>
      <c r="C33" s="18">
        <v>7</v>
      </c>
      <c r="D33" s="18">
        <v>2</v>
      </c>
      <c r="E33" s="18">
        <v>7</v>
      </c>
      <c r="F33" s="18">
        <v>7</v>
      </c>
      <c r="G33" s="18">
        <v>7</v>
      </c>
    </row>
    <row r="34" spans="1:7">
      <c r="A34" s="4" t="s">
        <v>70</v>
      </c>
      <c r="B34" s="5" t="s">
        <v>71</v>
      </c>
      <c r="C34" s="18">
        <v>5</v>
      </c>
      <c r="D34" s="18">
        <v>4</v>
      </c>
      <c r="E34" s="18">
        <v>5</v>
      </c>
      <c r="F34" s="18">
        <v>4</v>
      </c>
      <c r="G34" s="18">
        <v>6</v>
      </c>
    </row>
    <row r="35" spans="1:7">
      <c r="A35" s="4" t="s">
        <v>72</v>
      </c>
      <c r="C35" s="22">
        <f>AVERAGE(C3:C34)</f>
        <v>6.8125</v>
      </c>
      <c r="D35" s="22">
        <f>AVERAGE(D3:D34)</f>
        <v>4.4375</v>
      </c>
      <c r="E35" s="22">
        <f>AVERAGE(E3:E34)</f>
        <v>5.71875</v>
      </c>
      <c r="F35" s="22">
        <f>AVERAGE(F3:F34)</f>
        <v>6.03125</v>
      </c>
      <c r="G35" s="22">
        <f>AVERAGE(G3:G34)</f>
        <v>5.96875</v>
      </c>
    </row>
  </sheetData>
  <autoFilter ref="A2:M35">
    <extLst/>
  </autoFilter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opLeftCell="A8" workbookViewId="0">
      <selection activeCell="F38" sqref="F38"/>
    </sheetView>
  </sheetViews>
  <sheetFormatPr defaultColWidth="8.61261261261261" defaultRowHeight="14.1"/>
  <cols>
    <col min="3" max="3" width="12.9009009009009" style="18" customWidth="1"/>
    <col min="4" max="8" width="10.5855855855856" style="18" customWidth="1"/>
    <col min="9" max="9" width="12.9009009009009" style="18" customWidth="1"/>
    <col min="10" max="14" width="10.5855855855856" style="18" customWidth="1"/>
  </cols>
  <sheetData>
    <row r="1" customFormat="1" spans="1:18">
      <c r="A1" s="13" t="s">
        <v>73</v>
      </c>
      <c r="B1" s="13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5"/>
      <c r="P1" s="25"/>
      <c r="Q1" s="25"/>
      <c r="R1" s="25"/>
    </row>
    <row r="2" customFormat="1" spans="1:18">
      <c r="A2" s="5" t="s">
        <v>1</v>
      </c>
      <c r="B2" s="5" t="s">
        <v>2</v>
      </c>
      <c r="C2" s="21" t="s">
        <v>74</v>
      </c>
      <c r="D2" s="21" t="s">
        <v>75</v>
      </c>
      <c r="E2" s="21" t="s">
        <v>76</v>
      </c>
      <c r="F2" s="21" t="s">
        <v>77</v>
      </c>
      <c r="G2" s="21" t="s">
        <v>78</v>
      </c>
      <c r="H2" s="21" t="s">
        <v>79</v>
      </c>
      <c r="I2" s="26" t="s">
        <v>80</v>
      </c>
      <c r="J2" s="26" t="s">
        <v>81</v>
      </c>
      <c r="K2" s="26" t="s">
        <v>82</v>
      </c>
      <c r="L2" s="26" t="s">
        <v>83</v>
      </c>
      <c r="M2" s="26" t="s">
        <v>84</v>
      </c>
      <c r="N2" s="26" t="s">
        <v>85</v>
      </c>
      <c r="O2" s="27" t="s">
        <v>86</v>
      </c>
      <c r="P2" s="27" t="s">
        <v>87</v>
      </c>
      <c r="Q2" s="27" t="s">
        <v>88</v>
      </c>
      <c r="R2" s="27" t="s">
        <v>89</v>
      </c>
    </row>
    <row r="3" customFormat="1" spans="1:18">
      <c r="A3" s="4" t="s">
        <v>8</v>
      </c>
      <c r="B3" s="5" t="s">
        <v>9</v>
      </c>
      <c r="C3" s="18">
        <v>7</v>
      </c>
      <c r="D3" s="18">
        <v>7</v>
      </c>
      <c r="E3" s="18">
        <v>4</v>
      </c>
      <c r="F3" s="18">
        <v>1</v>
      </c>
      <c r="G3" s="18">
        <v>1</v>
      </c>
      <c r="H3" s="18">
        <v>1</v>
      </c>
      <c r="I3" s="18">
        <v>3</v>
      </c>
      <c r="J3" s="18">
        <v>3</v>
      </c>
      <c r="K3" s="18">
        <v>1</v>
      </c>
      <c r="L3" s="18">
        <v>4</v>
      </c>
      <c r="M3" s="18">
        <v>3</v>
      </c>
      <c r="N3" s="18">
        <v>3</v>
      </c>
      <c r="O3" s="27">
        <f>SUM(C3:E3)</f>
        <v>18</v>
      </c>
      <c r="P3" s="28">
        <f>SUM(F3:H3)</f>
        <v>3</v>
      </c>
      <c r="Q3" s="27">
        <f>SUM(I3:K3)</f>
        <v>7</v>
      </c>
      <c r="R3" s="27">
        <f>SUM(L3:N3)</f>
        <v>10</v>
      </c>
    </row>
    <row r="4" customFormat="1" ht="14" customHeight="1" spans="1:18">
      <c r="A4" s="4" t="s">
        <v>10</v>
      </c>
      <c r="B4" s="5" t="s">
        <v>11</v>
      </c>
      <c r="C4" s="18">
        <v>7</v>
      </c>
      <c r="D4" s="18">
        <v>7</v>
      </c>
      <c r="E4" s="18">
        <v>7</v>
      </c>
      <c r="F4" s="18">
        <v>1</v>
      </c>
      <c r="G4" s="18">
        <v>1</v>
      </c>
      <c r="H4" s="18">
        <v>1</v>
      </c>
      <c r="I4" s="18">
        <v>5</v>
      </c>
      <c r="J4" s="18">
        <v>1</v>
      </c>
      <c r="K4" s="18">
        <v>1</v>
      </c>
      <c r="L4" s="18">
        <v>3</v>
      </c>
      <c r="M4" s="18">
        <v>4</v>
      </c>
      <c r="N4" s="18">
        <v>4</v>
      </c>
      <c r="O4" s="27">
        <f t="shared" ref="O4:O14" si="0">SUM(C4:E4)</f>
        <v>21</v>
      </c>
      <c r="P4" s="28">
        <f t="shared" ref="P4:P38" si="1">SUM(F4:H4)</f>
        <v>3</v>
      </c>
      <c r="Q4" s="27">
        <f t="shared" ref="Q4:Q38" si="2">SUM(I4:K4)</f>
        <v>7</v>
      </c>
      <c r="R4" s="27">
        <f t="shared" ref="R4:R38" si="3">SUM(L4:N4)</f>
        <v>11</v>
      </c>
    </row>
    <row r="5" customFormat="1" spans="1:18">
      <c r="A5" s="4" t="s">
        <v>12</v>
      </c>
      <c r="B5" s="5" t="s">
        <v>13</v>
      </c>
      <c r="C5" s="18">
        <v>6</v>
      </c>
      <c r="D5" s="18">
        <v>6</v>
      </c>
      <c r="E5" s="18">
        <v>5</v>
      </c>
      <c r="F5" s="18">
        <v>1</v>
      </c>
      <c r="G5" s="18">
        <v>1</v>
      </c>
      <c r="H5" s="18">
        <v>1</v>
      </c>
      <c r="I5" s="18">
        <v>5</v>
      </c>
      <c r="J5" s="18">
        <v>6</v>
      </c>
      <c r="K5" s="18">
        <v>5</v>
      </c>
      <c r="L5" s="18">
        <v>1</v>
      </c>
      <c r="M5" s="18">
        <v>1</v>
      </c>
      <c r="N5" s="18">
        <v>1</v>
      </c>
      <c r="O5" s="27">
        <f t="shared" si="0"/>
        <v>17</v>
      </c>
      <c r="P5" s="28">
        <f t="shared" si="1"/>
        <v>3</v>
      </c>
      <c r="Q5" s="27">
        <f t="shared" si="2"/>
        <v>16</v>
      </c>
      <c r="R5" s="27">
        <f t="shared" si="3"/>
        <v>3</v>
      </c>
    </row>
    <row r="6" customFormat="1" spans="1:18">
      <c r="A6" s="4" t="s">
        <v>14</v>
      </c>
      <c r="B6" s="5" t="s">
        <v>15</v>
      </c>
      <c r="C6" s="18">
        <v>7</v>
      </c>
      <c r="D6" s="18">
        <v>4</v>
      </c>
      <c r="E6" s="18">
        <v>6</v>
      </c>
      <c r="F6" s="18">
        <v>1</v>
      </c>
      <c r="G6" s="18">
        <v>2</v>
      </c>
      <c r="H6" s="18">
        <v>1</v>
      </c>
      <c r="I6" s="18">
        <v>3</v>
      </c>
      <c r="J6" s="18">
        <v>3</v>
      </c>
      <c r="K6" s="18">
        <v>1</v>
      </c>
      <c r="L6" s="18">
        <v>3</v>
      </c>
      <c r="M6" s="18">
        <v>2</v>
      </c>
      <c r="N6" s="18">
        <v>2</v>
      </c>
      <c r="O6" s="27">
        <f t="shared" si="0"/>
        <v>17</v>
      </c>
      <c r="P6" s="28">
        <f t="shared" si="1"/>
        <v>4</v>
      </c>
      <c r="Q6" s="27">
        <f t="shared" si="2"/>
        <v>7</v>
      </c>
      <c r="R6" s="27">
        <f t="shared" si="3"/>
        <v>7</v>
      </c>
    </row>
    <row r="7" customFormat="1" spans="1:18">
      <c r="A7" s="4" t="s">
        <v>16</v>
      </c>
      <c r="B7" s="5" t="s">
        <v>17</v>
      </c>
      <c r="C7" s="18">
        <v>5</v>
      </c>
      <c r="D7" s="18">
        <v>5</v>
      </c>
      <c r="E7" s="18">
        <v>5</v>
      </c>
      <c r="F7" s="18">
        <v>1</v>
      </c>
      <c r="G7" s="18">
        <v>1</v>
      </c>
      <c r="H7" s="18">
        <v>1</v>
      </c>
      <c r="I7" s="18">
        <v>5</v>
      </c>
      <c r="J7" s="18">
        <v>4</v>
      </c>
      <c r="K7" s="18">
        <v>2</v>
      </c>
      <c r="L7" s="18">
        <v>4</v>
      </c>
      <c r="M7" s="18">
        <v>5</v>
      </c>
      <c r="N7" s="18">
        <v>4</v>
      </c>
      <c r="O7" s="27">
        <f t="shared" si="0"/>
        <v>15</v>
      </c>
      <c r="P7" s="28">
        <f t="shared" si="1"/>
        <v>3</v>
      </c>
      <c r="Q7" s="27">
        <f t="shared" si="2"/>
        <v>11</v>
      </c>
      <c r="R7" s="27">
        <f t="shared" si="3"/>
        <v>13</v>
      </c>
    </row>
    <row r="8" customFormat="1" spans="1:18">
      <c r="A8" s="4" t="s">
        <v>18</v>
      </c>
      <c r="B8" s="5" t="s">
        <v>19</v>
      </c>
      <c r="C8" s="18">
        <v>7</v>
      </c>
      <c r="D8" s="18">
        <v>6</v>
      </c>
      <c r="E8" s="18">
        <v>6</v>
      </c>
      <c r="F8" s="18">
        <v>1</v>
      </c>
      <c r="G8" s="18">
        <v>1</v>
      </c>
      <c r="H8" s="18">
        <v>1</v>
      </c>
      <c r="I8" s="18">
        <v>7</v>
      </c>
      <c r="J8" s="18">
        <v>6</v>
      </c>
      <c r="K8" s="18">
        <v>6</v>
      </c>
      <c r="L8" s="18">
        <v>1</v>
      </c>
      <c r="M8" s="18">
        <v>1</v>
      </c>
      <c r="N8" s="18">
        <v>1</v>
      </c>
      <c r="O8" s="27">
        <f t="shared" si="0"/>
        <v>19</v>
      </c>
      <c r="P8" s="28">
        <f t="shared" si="1"/>
        <v>3</v>
      </c>
      <c r="Q8" s="27">
        <f t="shared" si="2"/>
        <v>19</v>
      </c>
      <c r="R8" s="27">
        <f t="shared" si="3"/>
        <v>3</v>
      </c>
    </row>
    <row r="9" customFormat="1" spans="1:18">
      <c r="A9" s="4" t="s">
        <v>20</v>
      </c>
      <c r="B9" s="5" t="s">
        <v>21</v>
      </c>
      <c r="C9" s="18">
        <v>5</v>
      </c>
      <c r="D9" s="18">
        <v>5</v>
      </c>
      <c r="E9" s="18">
        <v>3</v>
      </c>
      <c r="F9" s="18">
        <v>3</v>
      </c>
      <c r="G9" s="18">
        <v>2</v>
      </c>
      <c r="H9" s="18">
        <v>2</v>
      </c>
      <c r="I9" s="18">
        <v>6</v>
      </c>
      <c r="J9" s="18">
        <v>3</v>
      </c>
      <c r="K9" s="18">
        <v>2</v>
      </c>
      <c r="L9" s="18">
        <v>3</v>
      </c>
      <c r="M9" s="18">
        <v>3</v>
      </c>
      <c r="N9" s="18">
        <v>2</v>
      </c>
      <c r="O9" s="27">
        <f t="shared" si="0"/>
        <v>13</v>
      </c>
      <c r="P9" s="28">
        <f t="shared" si="1"/>
        <v>7</v>
      </c>
      <c r="Q9" s="27">
        <f t="shared" si="2"/>
        <v>11</v>
      </c>
      <c r="R9" s="27">
        <f t="shared" si="3"/>
        <v>8</v>
      </c>
    </row>
    <row r="10" customFormat="1" spans="1:18">
      <c r="A10" s="4" t="s">
        <v>22</v>
      </c>
      <c r="B10" s="5" t="s">
        <v>23</v>
      </c>
      <c r="C10" s="18">
        <v>7</v>
      </c>
      <c r="D10" s="18">
        <v>7</v>
      </c>
      <c r="E10" s="18">
        <v>7</v>
      </c>
      <c r="F10" s="18">
        <v>1</v>
      </c>
      <c r="G10" s="18">
        <v>1</v>
      </c>
      <c r="H10" s="18">
        <v>1</v>
      </c>
      <c r="I10" s="18">
        <v>4</v>
      </c>
      <c r="J10" s="18">
        <v>4</v>
      </c>
      <c r="K10" s="18">
        <v>4</v>
      </c>
      <c r="L10" s="18">
        <v>1</v>
      </c>
      <c r="M10" s="18">
        <v>1</v>
      </c>
      <c r="N10" s="18">
        <v>1</v>
      </c>
      <c r="O10" s="27">
        <f t="shared" si="0"/>
        <v>21</v>
      </c>
      <c r="P10" s="28">
        <f t="shared" si="1"/>
        <v>3</v>
      </c>
      <c r="Q10" s="27">
        <f t="shared" si="2"/>
        <v>12</v>
      </c>
      <c r="R10" s="27">
        <f t="shared" si="3"/>
        <v>3</v>
      </c>
    </row>
    <row r="11" customFormat="1" spans="1:18">
      <c r="A11" s="4" t="s">
        <v>24</v>
      </c>
      <c r="B11" s="5" t="s">
        <v>25</v>
      </c>
      <c r="C11" s="18">
        <v>7</v>
      </c>
      <c r="D11" s="18">
        <v>6</v>
      </c>
      <c r="E11" s="18">
        <v>7</v>
      </c>
      <c r="F11" s="18">
        <v>1</v>
      </c>
      <c r="G11" s="18">
        <v>1</v>
      </c>
      <c r="H11" s="18">
        <v>1</v>
      </c>
      <c r="I11" s="18">
        <v>6</v>
      </c>
      <c r="J11" s="18">
        <v>7</v>
      </c>
      <c r="K11" s="18">
        <v>6</v>
      </c>
      <c r="L11" s="18">
        <v>5</v>
      </c>
      <c r="M11" s="18">
        <v>2</v>
      </c>
      <c r="N11" s="18">
        <v>2</v>
      </c>
      <c r="O11" s="27">
        <f t="shared" si="0"/>
        <v>20</v>
      </c>
      <c r="P11" s="28">
        <f t="shared" si="1"/>
        <v>3</v>
      </c>
      <c r="Q11" s="27">
        <f t="shared" si="2"/>
        <v>19</v>
      </c>
      <c r="R11" s="27">
        <f t="shared" si="3"/>
        <v>9</v>
      </c>
    </row>
    <row r="12" customFormat="1" spans="1:18">
      <c r="A12" s="4" t="s">
        <v>26</v>
      </c>
      <c r="B12" s="5" t="s">
        <v>27</v>
      </c>
      <c r="C12" s="18">
        <v>3</v>
      </c>
      <c r="D12" s="18">
        <v>5</v>
      </c>
      <c r="E12" s="18">
        <v>5</v>
      </c>
      <c r="F12" s="18">
        <v>1</v>
      </c>
      <c r="G12" s="18">
        <v>1</v>
      </c>
      <c r="H12" s="18">
        <v>1</v>
      </c>
      <c r="I12" s="18">
        <v>5</v>
      </c>
      <c r="J12" s="18">
        <v>1</v>
      </c>
      <c r="K12" s="18">
        <v>1</v>
      </c>
      <c r="L12" s="18">
        <v>7</v>
      </c>
      <c r="M12" s="18">
        <v>7</v>
      </c>
      <c r="N12" s="18">
        <v>7</v>
      </c>
      <c r="O12" s="27">
        <f t="shared" si="0"/>
        <v>13</v>
      </c>
      <c r="P12" s="28">
        <f t="shared" si="1"/>
        <v>3</v>
      </c>
      <c r="Q12" s="27">
        <f t="shared" si="2"/>
        <v>7</v>
      </c>
      <c r="R12" s="27">
        <f t="shared" si="3"/>
        <v>21</v>
      </c>
    </row>
    <row r="13" customFormat="1" spans="1:18">
      <c r="A13" s="4" t="s">
        <v>28</v>
      </c>
      <c r="B13" s="5" t="s">
        <v>29</v>
      </c>
      <c r="C13" s="18">
        <v>6</v>
      </c>
      <c r="D13" s="18">
        <v>6</v>
      </c>
      <c r="E13" s="18">
        <v>6</v>
      </c>
      <c r="F13" s="18">
        <v>4</v>
      </c>
      <c r="G13" s="18">
        <v>3</v>
      </c>
      <c r="H13" s="18">
        <v>3</v>
      </c>
      <c r="I13" s="18">
        <v>6</v>
      </c>
      <c r="J13" s="18">
        <v>6</v>
      </c>
      <c r="K13" s="18">
        <v>6</v>
      </c>
      <c r="L13" s="18">
        <v>4</v>
      </c>
      <c r="M13" s="18">
        <v>3</v>
      </c>
      <c r="N13" s="18">
        <v>3</v>
      </c>
      <c r="O13" s="27">
        <f t="shared" si="0"/>
        <v>18</v>
      </c>
      <c r="P13" s="28">
        <f t="shared" si="1"/>
        <v>10</v>
      </c>
      <c r="Q13" s="27">
        <f t="shared" si="2"/>
        <v>18</v>
      </c>
      <c r="R13" s="27">
        <f t="shared" si="3"/>
        <v>10</v>
      </c>
    </row>
    <row r="14" customFormat="1" spans="1:18">
      <c r="A14" s="4" t="s">
        <v>30</v>
      </c>
      <c r="B14" s="5" t="s">
        <v>31</v>
      </c>
      <c r="C14" s="18">
        <v>6</v>
      </c>
      <c r="D14" s="18">
        <v>7</v>
      </c>
      <c r="E14" s="18">
        <v>4</v>
      </c>
      <c r="F14" s="18">
        <v>5</v>
      </c>
      <c r="G14" s="18">
        <v>2</v>
      </c>
      <c r="H14" s="18">
        <v>1</v>
      </c>
      <c r="I14" s="18">
        <v>5</v>
      </c>
      <c r="J14" s="18">
        <v>4</v>
      </c>
      <c r="K14" s="18">
        <v>6</v>
      </c>
      <c r="L14" s="18">
        <v>1</v>
      </c>
      <c r="M14" s="18">
        <v>1</v>
      </c>
      <c r="N14" s="18">
        <v>1</v>
      </c>
      <c r="O14" s="27">
        <f>SUM(C14:E14)</f>
        <v>17</v>
      </c>
      <c r="P14" s="28">
        <f>SUM(F14:H14)</f>
        <v>8</v>
      </c>
      <c r="Q14" s="27">
        <f>SUM(I14:K14)</f>
        <v>15</v>
      </c>
      <c r="R14" s="27">
        <f>SUM(L14:N14)</f>
        <v>3</v>
      </c>
    </row>
    <row r="15" customFormat="1" spans="1:18">
      <c r="A15" s="4" t="s">
        <v>32</v>
      </c>
      <c r="B15" s="5" t="s">
        <v>33</v>
      </c>
      <c r="C15" s="18">
        <v>5</v>
      </c>
      <c r="D15" s="18">
        <v>4</v>
      </c>
      <c r="E15" s="18">
        <v>5</v>
      </c>
      <c r="F15" s="18">
        <v>1</v>
      </c>
      <c r="G15" s="18">
        <v>1</v>
      </c>
      <c r="H15" s="18">
        <v>3</v>
      </c>
      <c r="I15" s="18">
        <v>3</v>
      </c>
      <c r="J15" s="18">
        <v>4</v>
      </c>
      <c r="K15" s="18">
        <v>3</v>
      </c>
      <c r="L15" s="18">
        <v>1</v>
      </c>
      <c r="M15" s="18">
        <v>4</v>
      </c>
      <c r="N15" s="18">
        <v>2</v>
      </c>
      <c r="O15" s="27">
        <f t="shared" ref="O15:O30" si="4">SUM(C15:E15)</f>
        <v>14</v>
      </c>
      <c r="P15" s="28">
        <f t="shared" si="1"/>
        <v>5</v>
      </c>
      <c r="Q15" s="27">
        <f t="shared" si="2"/>
        <v>10</v>
      </c>
      <c r="R15" s="27">
        <f t="shared" si="3"/>
        <v>7</v>
      </c>
    </row>
    <row r="16" customFormat="1" spans="1:18">
      <c r="A16" s="4" t="s">
        <v>34</v>
      </c>
      <c r="B16" s="5" t="s">
        <v>35</v>
      </c>
      <c r="C16" s="18">
        <v>5</v>
      </c>
      <c r="D16" s="18">
        <v>6</v>
      </c>
      <c r="E16" s="18">
        <v>4</v>
      </c>
      <c r="F16" s="18">
        <v>3</v>
      </c>
      <c r="G16" s="18">
        <v>3</v>
      </c>
      <c r="H16" s="18">
        <v>1</v>
      </c>
      <c r="I16" s="18">
        <v>4</v>
      </c>
      <c r="J16" s="18">
        <v>4</v>
      </c>
      <c r="K16" s="18">
        <v>3</v>
      </c>
      <c r="L16" s="18">
        <v>5</v>
      </c>
      <c r="M16" s="18">
        <v>6</v>
      </c>
      <c r="N16" s="18">
        <v>5</v>
      </c>
      <c r="O16" s="27">
        <f t="shared" si="4"/>
        <v>15</v>
      </c>
      <c r="P16" s="28">
        <f t="shared" si="1"/>
        <v>7</v>
      </c>
      <c r="Q16" s="27">
        <f t="shared" si="2"/>
        <v>11</v>
      </c>
      <c r="R16" s="27">
        <f t="shared" si="3"/>
        <v>16</v>
      </c>
    </row>
    <row r="17" customFormat="1" spans="1:18">
      <c r="A17" s="4" t="s">
        <v>36</v>
      </c>
      <c r="B17" s="5" t="s">
        <v>37</v>
      </c>
      <c r="C17" s="18">
        <v>5</v>
      </c>
      <c r="D17" s="18">
        <v>5</v>
      </c>
      <c r="E17" s="18">
        <v>6</v>
      </c>
      <c r="F17" s="18">
        <v>1</v>
      </c>
      <c r="G17" s="18">
        <v>2</v>
      </c>
      <c r="H17" s="18">
        <v>1</v>
      </c>
      <c r="I17" s="18">
        <v>1</v>
      </c>
      <c r="J17" s="18">
        <v>2</v>
      </c>
      <c r="K17" s="18">
        <v>1</v>
      </c>
      <c r="L17" s="18">
        <v>1</v>
      </c>
      <c r="M17" s="18">
        <v>6</v>
      </c>
      <c r="N17" s="18">
        <v>4</v>
      </c>
      <c r="O17" s="27">
        <f t="shared" si="4"/>
        <v>16</v>
      </c>
      <c r="P17" s="28">
        <f t="shared" si="1"/>
        <v>4</v>
      </c>
      <c r="Q17" s="27">
        <f t="shared" si="2"/>
        <v>4</v>
      </c>
      <c r="R17" s="27">
        <f t="shared" si="3"/>
        <v>11</v>
      </c>
    </row>
    <row r="18" customFormat="1" spans="1:18">
      <c r="A18" s="4" t="s">
        <v>38</v>
      </c>
      <c r="B18" s="5" t="s">
        <v>39</v>
      </c>
      <c r="C18" s="18">
        <v>7</v>
      </c>
      <c r="D18" s="18">
        <v>7</v>
      </c>
      <c r="E18" s="18">
        <v>7</v>
      </c>
      <c r="F18" s="18">
        <v>1</v>
      </c>
      <c r="G18" s="18">
        <v>1</v>
      </c>
      <c r="H18" s="18">
        <v>1</v>
      </c>
      <c r="I18" s="18">
        <v>6</v>
      </c>
      <c r="J18" s="18">
        <v>6</v>
      </c>
      <c r="K18" s="18">
        <v>5</v>
      </c>
      <c r="L18" s="18">
        <v>1</v>
      </c>
      <c r="M18" s="18">
        <v>1</v>
      </c>
      <c r="N18" s="18">
        <v>1</v>
      </c>
      <c r="O18" s="27">
        <f t="shared" si="4"/>
        <v>21</v>
      </c>
      <c r="P18" s="28">
        <f t="shared" si="1"/>
        <v>3</v>
      </c>
      <c r="Q18" s="27">
        <f t="shared" si="2"/>
        <v>17</v>
      </c>
      <c r="R18" s="27">
        <f t="shared" si="3"/>
        <v>3</v>
      </c>
    </row>
    <row r="19" customFormat="1" spans="1:18">
      <c r="A19" s="4" t="s">
        <v>40</v>
      </c>
      <c r="B19" s="5" t="s">
        <v>41</v>
      </c>
      <c r="C19" s="18">
        <v>6</v>
      </c>
      <c r="D19" s="18">
        <v>6</v>
      </c>
      <c r="E19" s="18">
        <v>5</v>
      </c>
      <c r="F19" s="18">
        <v>1</v>
      </c>
      <c r="G19" s="18">
        <v>1</v>
      </c>
      <c r="H19" s="18">
        <v>1</v>
      </c>
      <c r="I19" s="18">
        <v>5</v>
      </c>
      <c r="J19" s="18">
        <v>4</v>
      </c>
      <c r="K19" s="18">
        <v>3</v>
      </c>
      <c r="L19" s="18">
        <v>1</v>
      </c>
      <c r="M19" s="18">
        <v>1</v>
      </c>
      <c r="N19" s="18">
        <v>1</v>
      </c>
      <c r="O19" s="27">
        <f t="shared" si="4"/>
        <v>17</v>
      </c>
      <c r="P19" s="28">
        <f t="shared" si="1"/>
        <v>3</v>
      </c>
      <c r="Q19" s="27">
        <f t="shared" si="2"/>
        <v>12</v>
      </c>
      <c r="R19" s="27">
        <f t="shared" si="3"/>
        <v>3</v>
      </c>
    </row>
    <row r="20" customFormat="1" spans="1:18">
      <c r="A20" s="4" t="s">
        <v>42</v>
      </c>
      <c r="B20" s="5" t="s">
        <v>43</v>
      </c>
      <c r="C20" s="18">
        <v>4</v>
      </c>
      <c r="D20" s="18">
        <v>4</v>
      </c>
      <c r="E20" s="18">
        <v>4</v>
      </c>
      <c r="F20" s="18">
        <v>2</v>
      </c>
      <c r="G20" s="18">
        <v>3</v>
      </c>
      <c r="H20" s="18">
        <v>2</v>
      </c>
      <c r="I20" s="18">
        <v>2</v>
      </c>
      <c r="J20" s="18">
        <v>5</v>
      </c>
      <c r="K20" s="18">
        <v>6</v>
      </c>
      <c r="L20" s="18">
        <v>3</v>
      </c>
      <c r="M20" s="18">
        <v>3</v>
      </c>
      <c r="N20" s="18">
        <v>3</v>
      </c>
      <c r="O20" s="27">
        <f t="shared" si="4"/>
        <v>12</v>
      </c>
      <c r="P20" s="28">
        <f t="shared" si="1"/>
        <v>7</v>
      </c>
      <c r="Q20" s="27">
        <f t="shared" si="2"/>
        <v>13</v>
      </c>
      <c r="R20" s="27">
        <f t="shared" si="3"/>
        <v>9</v>
      </c>
    </row>
    <row r="21" customFormat="1" spans="1:18">
      <c r="A21" s="4" t="s">
        <v>44</v>
      </c>
      <c r="B21" s="5" t="s">
        <v>45</v>
      </c>
      <c r="C21" s="18">
        <v>4</v>
      </c>
      <c r="D21" s="18">
        <v>5</v>
      </c>
      <c r="E21" s="18">
        <v>4</v>
      </c>
      <c r="F21" s="18">
        <v>1</v>
      </c>
      <c r="G21" s="18">
        <v>1</v>
      </c>
      <c r="H21" s="18">
        <v>1</v>
      </c>
      <c r="I21" s="18">
        <v>2</v>
      </c>
      <c r="J21" s="18">
        <v>6</v>
      </c>
      <c r="K21" s="18">
        <v>4</v>
      </c>
      <c r="L21" s="18">
        <v>1</v>
      </c>
      <c r="M21" s="18">
        <v>2</v>
      </c>
      <c r="N21" s="18">
        <v>1</v>
      </c>
      <c r="O21" s="27">
        <f t="shared" si="4"/>
        <v>13</v>
      </c>
      <c r="P21" s="28">
        <f t="shared" si="1"/>
        <v>3</v>
      </c>
      <c r="Q21" s="27">
        <f t="shared" si="2"/>
        <v>12</v>
      </c>
      <c r="R21" s="27">
        <f t="shared" si="3"/>
        <v>4</v>
      </c>
    </row>
    <row r="22" customFormat="1" spans="1:18">
      <c r="A22" s="4" t="s">
        <v>46</v>
      </c>
      <c r="B22" s="5" t="s">
        <v>47</v>
      </c>
      <c r="C22" s="18">
        <v>7</v>
      </c>
      <c r="D22" s="18">
        <v>7</v>
      </c>
      <c r="E22" s="18">
        <v>7</v>
      </c>
      <c r="F22" s="18">
        <v>1</v>
      </c>
      <c r="G22" s="18">
        <v>1</v>
      </c>
      <c r="H22" s="18">
        <v>1</v>
      </c>
      <c r="I22" s="18">
        <v>2</v>
      </c>
      <c r="J22" s="18">
        <v>1</v>
      </c>
      <c r="K22" s="18">
        <v>1</v>
      </c>
      <c r="L22" s="18">
        <v>7</v>
      </c>
      <c r="M22" s="18">
        <v>7</v>
      </c>
      <c r="N22" s="18">
        <v>7</v>
      </c>
      <c r="O22" s="27">
        <f t="shared" si="4"/>
        <v>21</v>
      </c>
      <c r="P22" s="28">
        <f t="shared" si="1"/>
        <v>3</v>
      </c>
      <c r="Q22" s="27">
        <f t="shared" si="2"/>
        <v>4</v>
      </c>
      <c r="R22" s="27">
        <f t="shared" si="3"/>
        <v>21</v>
      </c>
    </row>
    <row r="23" customFormat="1" spans="1:18">
      <c r="A23" s="4" t="s">
        <v>48</v>
      </c>
      <c r="B23" s="5" t="s">
        <v>49</v>
      </c>
      <c r="C23" s="18">
        <v>5</v>
      </c>
      <c r="D23" s="18">
        <v>4</v>
      </c>
      <c r="E23" s="18">
        <v>5</v>
      </c>
      <c r="F23" s="18">
        <v>1</v>
      </c>
      <c r="G23" s="18">
        <v>1</v>
      </c>
      <c r="H23" s="18">
        <v>1</v>
      </c>
      <c r="I23" s="18">
        <v>4</v>
      </c>
      <c r="J23" s="18">
        <v>1</v>
      </c>
      <c r="K23" s="18">
        <v>1</v>
      </c>
      <c r="L23" s="18">
        <v>7</v>
      </c>
      <c r="M23" s="18">
        <v>7</v>
      </c>
      <c r="N23" s="18">
        <v>7</v>
      </c>
      <c r="O23" s="27">
        <f>SUM(C23:E23)</f>
        <v>14</v>
      </c>
      <c r="P23" s="28">
        <f>SUM(F23:H23)</f>
        <v>3</v>
      </c>
      <c r="Q23" s="27">
        <f>SUM(I23:K23)</f>
        <v>6</v>
      </c>
      <c r="R23" s="27">
        <f>SUM(L23:N23)</f>
        <v>21</v>
      </c>
    </row>
    <row r="24" customFormat="1" spans="1:18">
      <c r="A24" s="4" t="s">
        <v>50</v>
      </c>
      <c r="B24" s="5" t="s">
        <v>51</v>
      </c>
      <c r="C24" s="18">
        <v>7</v>
      </c>
      <c r="D24" s="18">
        <v>7</v>
      </c>
      <c r="E24" s="18">
        <v>7</v>
      </c>
      <c r="F24" s="18">
        <v>1</v>
      </c>
      <c r="G24" s="18">
        <v>1</v>
      </c>
      <c r="H24" s="18">
        <v>1</v>
      </c>
      <c r="I24" s="18">
        <v>7</v>
      </c>
      <c r="J24" s="18">
        <v>7</v>
      </c>
      <c r="K24" s="18">
        <v>1</v>
      </c>
      <c r="L24" s="18">
        <v>1</v>
      </c>
      <c r="M24" s="18">
        <v>1</v>
      </c>
      <c r="N24" s="18">
        <v>1</v>
      </c>
      <c r="O24" s="27">
        <f>SUM(C24:E24)</f>
        <v>21</v>
      </c>
      <c r="P24" s="28">
        <f>SUM(F24:H24)</f>
        <v>3</v>
      </c>
      <c r="Q24" s="27">
        <f>SUM(I24:K24)</f>
        <v>15</v>
      </c>
      <c r="R24" s="27">
        <f>SUM(L24:N24)</f>
        <v>3</v>
      </c>
    </row>
    <row r="25" customFormat="1" spans="1:18">
      <c r="A25" s="4" t="s">
        <v>52</v>
      </c>
      <c r="B25" s="5" t="s">
        <v>53</v>
      </c>
      <c r="C25" s="18">
        <v>7</v>
      </c>
      <c r="D25" s="18">
        <v>7</v>
      </c>
      <c r="E25" s="18">
        <v>7</v>
      </c>
      <c r="F25" s="18">
        <v>1</v>
      </c>
      <c r="G25" s="18">
        <v>1</v>
      </c>
      <c r="H25" s="18">
        <v>1</v>
      </c>
      <c r="I25" s="18">
        <v>7</v>
      </c>
      <c r="J25" s="18">
        <v>7</v>
      </c>
      <c r="K25" s="18">
        <v>1</v>
      </c>
      <c r="L25" s="18">
        <v>1</v>
      </c>
      <c r="M25" s="18">
        <v>1</v>
      </c>
      <c r="N25" s="18">
        <v>1</v>
      </c>
      <c r="O25" s="27">
        <f>SUM(C25:E25)</f>
        <v>21</v>
      </c>
      <c r="P25" s="28">
        <f>SUM(F25:H25)</f>
        <v>3</v>
      </c>
      <c r="Q25" s="27">
        <f>SUM(I25:K25)</f>
        <v>15</v>
      </c>
      <c r="R25" s="27">
        <f>SUM(L25:N25)</f>
        <v>3</v>
      </c>
    </row>
    <row r="26" customFormat="1" spans="1:18">
      <c r="A26" s="4" t="s">
        <v>54</v>
      </c>
      <c r="B26" s="5" t="s">
        <v>55</v>
      </c>
      <c r="C26" s="18">
        <v>6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7</v>
      </c>
      <c r="M26" s="18">
        <v>4</v>
      </c>
      <c r="N26" s="18">
        <v>1</v>
      </c>
      <c r="O26" s="27">
        <f>SUM(C26:E26)</f>
        <v>8</v>
      </c>
      <c r="P26" s="28">
        <f>SUM(F26:H26)</f>
        <v>3</v>
      </c>
      <c r="Q26" s="27">
        <f>SUM(I26:K26)</f>
        <v>3</v>
      </c>
      <c r="R26" s="27">
        <f>SUM(L26:N26)</f>
        <v>12</v>
      </c>
    </row>
    <row r="27" customFormat="1" spans="1:18">
      <c r="A27" s="4" t="s">
        <v>56</v>
      </c>
      <c r="B27" s="5" t="s">
        <v>57</v>
      </c>
      <c r="C27" s="18">
        <v>6</v>
      </c>
      <c r="D27" s="18">
        <v>5</v>
      </c>
      <c r="E27" s="18">
        <v>5</v>
      </c>
      <c r="F27" s="18">
        <v>1</v>
      </c>
      <c r="G27" s="18">
        <v>1</v>
      </c>
      <c r="H27" s="18">
        <v>1</v>
      </c>
      <c r="I27" s="18">
        <v>3</v>
      </c>
      <c r="J27" s="18">
        <v>1</v>
      </c>
      <c r="K27" s="18">
        <v>1</v>
      </c>
      <c r="L27" s="18">
        <v>3</v>
      </c>
      <c r="M27" s="18">
        <v>4</v>
      </c>
      <c r="N27" s="18">
        <v>2</v>
      </c>
      <c r="O27" s="27">
        <f>SUM(C27:E27)</f>
        <v>16</v>
      </c>
      <c r="P27" s="28">
        <f>SUM(F27:H27)</f>
        <v>3</v>
      </c>
      <c r="Q27" s="27">
        <f>SUM(I27:K27)</f>
        <v>5</v>
      </c>
      <c r="R27" s="27">
        <f>SUM(L27:N27)</f>
        <v>9</v>
      </c>
    </row>
    <row r="28" customFormat="1" spans="1:18">
      <c r="A28" s="4" t="s">
        <v>58</v>
      </c>
      <c r="B28" s="5" t="s">
        <v>59</v>
      </c>
      <c r="C28" s="18">
        <v>7</v>
      </c>
      <c r="D28" s="18">
        <v>7</v>
      </c>
      <c r="E28" s="18">
        <v>7</v>
      </c>
      <c r="F28" s="18">
        <v>1</v>
      </c>
      <c r="G28" s="18">
        <v>1</v>
      </c>
      <c r="H28" s="18">
        <v>1</v>
      </c>
      <c r="I28" s="18">
        <v>5</v>
      </c>
      <c r="J28" s="18">
        <v>7</v>
      </c>
      <c r="K28" s="18">
        <v>1</v>
      </c>
      <c r="L28" s="18">
        <v>1</v>
      </c>
      <c r="M28" s="18">
        <v>1</v>
      </c>
      <c r="N28" s="18">
        <v>7</v>
      </c>
      <c r="O28" s="27">
        <f>SUM(C28:E28)</f>
        <v>21</v>
      </c>
      <c r="P28" s="28">
        <f>SUM(F28:H28)</f>
        <v>3</v>
      </c>
      <c r="Q28" s="27">
        <f>SUM(I28:K28)</f>
        <v>13</v>
      </c>
      <c r="R28" s="27">
        <f>SUM(L28:N28)</f>
        <v>9</v>
      </c>
    </row>
    <row r="29" customFormat="1" spans="1:18">
      <c r="A29" s="4" t="s">
        <v>60</v>
      </c>
      <c r="B29" s="5" t="s">
        <v>61</v>
      </c>
      <c r="C29" s="18">
        <v>4</v>
      </c>
      <c r="D29" s="18">
        <v>5</v>
      </c>
      <c r="E29" s="18">
        <v>5</v>
      </c>
      <c r="F29" s="18">
        <v>1</v>
      </c>
      <c r="G29" s="18">
        <v>1</v>
      </c>
      <c r="H29" s="18">
        <v>1</v>
      </c>
      <c r="I29" s="18">
        <v>5</v>
      </c>
      <c r="J29" s="18">
        <v>5</v>
      </c>
      <c r="K29" s="18">
        <v>4</v>
      </c>
      <c r="L29" s="18">
        <v>3</v>
      </c>
      <c r="M29" s="18">
        <v>3</v>
      </c>
      <c r="N29" s="18">
        <v>3</v>
      </c>
      <c r="O29" s="27">
        <f>SUM(C29:E29)</f>
        <v>14</v>
      </c>
      <c r="P29" s="28">
        <f>SUM(F29:H29)</f>
        <v>3</v>
      </c>
      <c r="Q29" s="27">
        <f>SUM(I29:K29)</f>
        <v>14</v>
      </c>
      <c r="R29" s="27">
        <f>SUM(L29:N29)</f>
        <v>9</v>
      </c>
    </row>
    <row r="30" customFormat="1" spans="1:18">
      <c r="A30" s="4" t="s">
        <v>62</v>
      </c>
      <c r="B30" s="5" t="s">
        <v>63</v>
      </c>
      <c r="C30" s="18">
        <v>4</v>
      </c>
      <c r="D30" s="18">
        <v>4</v>
      </c>
      <c r="E30" s="18">
        <v>5</v>
      </c>
      <c r="F30" s="18">
        <v>2</v>
      </c>
      <c r="G30" s="18">
        <v>1</v>
      </c>
      <c r="H30" s="18">
        <v>1</v>
      </c>
      <c r="I30" s="18">
        <v>3</v>
      </c>
      <c r="J30" s="18">
        <v>4</v>
      </c>
      <c r="K30" s="18">
        <v>3</v>
      </c>
      <c r="L30" s="18">
        <v>2</v>
      </c>
      <c r="M30" s="18">
        <v>5</v>
      </c>
      <c r="N30" s="18">
        <v>2</v>
      </c>
      <c r="O30" s="27">
        <f>SUM(C30:E30)</f>
        <v>13</v>
      </c>
      <c r="P30" s="28">
        <f>SUM(F30:H30)</f>
        <v>4</v>
      </c>
      <c r="Q30" s="27">
        <f>SUM(I30:K30)</f>
        <v>10</v>
      </c>
      <c r="R30" s="27">
        <f>SUM(L30:N30)</f>
        <v>9</v>
      </c>
    </row>
    <row r="31" customFormat="1" spans="1:18">
      <c r="A31" s="4" t="s">
        <v>64</v>
      </c>
      <c r="B31" s="5" t="s">
        <v>65</v>
      </c>
      <c r="C31" s="18">
        <v>4</v>
      </c>
      <c r="D31" s="18">
        <v>4</v>
      </c>
      <c r="E31" s="18">
        <v>4</v>
      </c>
      <c r="F31" s="18">
        <v>1</v>
      </c>
      <c r="G31" s="18">
        <v>1</v>
      </c>
      <c r="H31" s="18">
        <v>1</v>
      </c>
      <c r="I31" s="18">
        <v>1</v>
      </c>
      <c r="J31" s="18">
        <v>1</v>
      </c>
      <c r="K31" s="18">
        <v>4</v>
      </c>
      <c r="L31" s="18">
        <v>2</v>
      </c>
      <c r="M31" s="18">
        <v>1</v>
      </c>
      <c r="N31" s="18">
        <v>5</v>
      </c>
      <c r="O31" s="27">
        <f>SUM(C31:E31)</f>
        <v>12</v>
      </c>
      <c r="P31" s="28">
        <f>SUM(F31:H31)</f>
        <v>3</v>
      </c>
      <c r="Q31" s="27">
        <f>SUM(I31:K31)</f>
        <v>6</v>
      </c>
      <c r="R31" s="27">
        <f>SUM(L31:N31)</f>
        <v>8</v>
      </c>
    </row>
    <row r="32" customFormat="1" spans="1:18">
      <c r="A32" s="4" t="s">
        <v>66</v>
      </c>
      <c r="B32" s="5" t="s">
        <v>67</v>
      </c>
      <c r="C32" s="18">
        <v>6</v>
      </c>
      <c r="D32" s="18">
        <v>4</v>
      </c>
      <c r="E32" s="18">
        <v>5</v>
      </c>
      <c r="F32" s="18">
        <v>3</v>
      </c>
      <c r="G32" s="18">
        <v>3</v>
      </c>
      <c r="H32" s="18">
        <v>3</v>
      </c>
      <c r="I32" s="18">
        <v>5</v>
      </c>
      <c r="J32" s="18">
        <v>3</v>
      </c>
      <c r="K32" s="18">
        <v>4</v>
      </c>
      <c r="L32" s="18">
        <v>3</v>
      </c>
      <c r="M32" s="18">
        <v>3</v>
      </c>
      <c r="N32" s="18">
        <v>3</v>
      </c>
      <c r="O32" s="27">
        <f>SUM(C32:E32)</f>
        <v>15</v>
      </c>
      <c r="P32" s="28">
        <f>SUM(F32:H32)</f>
        <v>9</v>
      </c>
      <c r="Q32" s="27">
        <f>SUM(I32:K32)</f>
        <v>12</v>
      </c>
      <c r="R32" s="27">
        <f>SUM(L32:N32)</f>
        <v>9</v>
      </c>
    </row>
    <row r="33" customFormat="1" spans="1:18">
      <c r="A33" s="4" t="s">
        <v>68</v>
      </c>
      <c r="B33" s="5" t="s">
        <v>69</v>
      </c>
      <c r="C33" s="18">
        <v>4</v>
      </c>
      <c r="D33" s="18">
        <v>5</v>
      </c>
      <c r="E33" s="18">
        <v>5</v>
      </c>
      <c r="F33" s="18">
        <v>3</v>
      </c>
      <c r="G33" s="18">
        <v>1</v>
      </c>
      <c r="H33" s="18">
        <v>3</v>
      </c>
      <c r="I33" s="18">
        <v>4</v>
      </c>
      <c r="J33" s="18">
        <v>5</v>
      </c>
      <c r="K33" s="18">
        <v>5</v>
      </c>
      <c r="L33" s="18">
        <v>3</v>
      </c>
      <c r="M33" s="18">
        <v>2</v>
      </c>
      <c r="N33" s="18">
        <v>3</v>
      </c>
      <c r="O33" s="27">
        <f>SUM(C33:E33)</f>
        <v>14</v>
      </c>
      <c r="P33" s="28">
        <f>SUM(F33:H33)</f>
        <v>7</v>
      </c>
      <c r="Q33" s="27">
        <f>SUM(I33:K33)</f>
        <v>14</v>
      </c>
      <c r="R33" s="27">
        <f>SUM(L33:N33)</f>
        <v>8</v>
      </c>
    </row>
    <row r="34" customFormat="1" spans="1:18">
      <c r="A34" s="4" t="s">
        <v>70</v>
      </c>
      <c r="B34" s="5" t="s">
        <v>71</v>
      </c>
      <c r="C34" s="18">
        <v>7</v>
      </c>
      <c r="D34" s="18">
        <v>6</v>
      </c>
      <c r="E34" s="18">
        <v>5</v>
      </c>
      <c r="F34" s="18">
        <v>2</v>
      </c>
      <c r="G34" s="18">
        <v>2</v>
      </c>
      <c r="H34" s="18">
        <v>1</v>
      </c>
      <c r="I34" s="18">
        <v>6</v>
      </c>
      <c r="J34" s="18">
        <v>5</v>
      </c>
      <c r="K34" s="18">
        <v>4</v>
      </c>
      <c r="L34" s="18">
        <v>4</v>
      </c>
      <c r="M34" s="18">
        <v>3</v>
      </c>
      <c r="N34" s="18">
        <v>2</v>
      </c>
      <c r="O34" s="27">
        <f>SUM(C34:E34)</f>
        <v>18</v>
      </c>
      <c r="P34" s="28">
        <f>SUM(F34:H34)</f>
        <v>5</v>
      </c>
      <c r="Q34" s="27">
        <f>SUM(I34:K34)</f>
        <v>15</v>
      </c>
      <c r="R34" s="27">
        <f>SUM(L34:N34)</f>
        <v>9</v>
      </c>
    </row>
    <row r="35" customFormat="1" spans="1:18">
      <c r="A35" t="s">
        <v>72</v>
      </c>
      <c r="C35" s="22">
        <f>AVERAGE(C3:C34)</f>
        <v>5.71875</v>
      </c>
      <c r="D35" s="22">
        <f t="shared" ref="D35:R35" si="5">AVERAGE(D3:D34)</f>
        <v>5.4375</v>
      </c>
      <c r="E35" s="22">
        <f t="shared" si="5"/>
        <v>5.25</v>
      </c>
      <c r="F35" s="22">
        <f t="shared" si="5"/>
        <v>1.5625</v>
      </c>
      <c r="G35" s="22">
        <f t="shared" si="5"/>
        <v>1.40625</v>
      </c>
      <c r="H35" s="22">
        <f t="shared" si="5"/>
        <v>1.3125</v>
      </c>
      <c r="I35" s="22">
        <f t="shared" si="5"/>
        <v>4.25</v>
      </c>
      <c r="J35" s="22">
        <f t="shared" si="5"/>
        <v>3.96875</v>
      </c>
      <c r="K35" s="22">
        <f t="shared" si="5"/>
        <v>3.03125</v>
      </c>
      <c r="L35" s="22">
        <f t="shared" si="5"/>
        <v>2.9375</v>
      </c>
      <c r="M35" s="22">
        <f t="shared" si="5"/>
        <v>3.0625</v>
      </c>
      <c r="N35" s="22">
        <f t="shared" si="5"/>
        <v>2.875</v>
      </c>
      <c r="O35" s="29">
        <f t="shared" si="5"/>
        <v>16.40625</v>
      </c>
      <c r="P35" s="29">
        <f t="shared" si="5"/>
        <v>4.28125</v>
      </c>
      <c r="Q35" s="29">
        <f t="shared" si="5"/>
        <v>11.25</v>
      </c>
      <c r="R35" s="29">
        <f t="shared" si="5"/>
        <v>8.875</v>
      </c>
    </row>
    <row r="42" customFormat="1" spans="2:14">
      <c r="B42" s="23"/>
      <c r="C42" s="18"/>
      <c r="D42" s="18"/>
      <c r="E42" s="18"/>
      <c r="F42" s="18"/>
      <c r="G42" s="24"/>
      <c r="H42" s="24"/>
      <c r="I42" s="18"/>
      <c r="J42" s="18"/>
      <c r="K42" s="18"/>
      <c r="L42" s="18"/>
      <c r="M42" s="18"/>
      <c r="N42" s="18"/>
    </row>
    <row r="43" customFormat="1" spans="3:14">
      <c r="C43" s="18"/>
      <c r="D43" s="18"/>
      <c r="E43" s="18"/>
      <c r="F43" s="18"/>
      <c r="G43" s="22"/>
      <c r="H43" s="22"/>
      <c r="I43" s="24"/>
      <c r="J43" s="24"/>
      <c r="K43" s="18"/>
      <c r="L43" s="18"/>
      <c r="M43" s="18"/>
      <c r="N43" s="18"/>
    </row>
    <row r="44" customFormat="1" spans="3:14">
      <c r="C44" s="18"/>
      <c r="D44" s="18"/>
      <c r="E44" s="18"/>
      <c r="F44" s="18"/>
      <c r="G44" s="22"/>
      <c r="H44" s="22"/>
      <c r="I44" s="18"/>
      <c r="J44" s="18"/>
      <c r="K44" s="18"/>
      <c r="L44" s="18"/>
      <c r="M44" s="18"/>
      <c r="N44" s="18"/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A33" sqref="$A33:$XFD33"/>
    </sheetView>
  </sheetViews>
  <sheetFormatPr defaultColWidth="8.61261261261261" defaultRowHeight="14.1"/>
  <cols>
    <col min="1" max="1" width="9.5045045045045" customWidth="1"/>
    <col min="2" max="2" width="10.4234234234234" customWidth="1"/>
    <col min="3" max="13" width="7.95495495495495" customWidth="1"/>
    <col min="14" max="14" width="12.7837837837838"/>
    <col min="21" max="21" width="8.56756756756757" customWidth="1"/>
  </cols>
  <sheetData>
    <row r="1" s="12" customFormat="1" spans="1:14">
      <c r="A1" s="12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7"/>
    </row>
    <row r="2" s="13" customFormat="1" spans="1:21">
      <c r="A2" s="1" t="s">
        <v>91</v>
      </c>
      <c r="B2" s="1" t="s">
        <v>92</v>
      </c>
      <c r="C2" s="19" t="s">
        <v>93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  <c r="I2" s="19" t="s">
        <v>99</v>
      </c>
      <c r="J2" s="19" t="s">
        <v>100</v>
      </c>
      <c r="K2" s="19" t="s">
        <v>101</v>
      </c>
      <c r="L2" s="19" t="s">
        <v>102</v>
      </c>
      <c r="M2" s="19" t="s">
        <v>103</v>
      </c>
      <c r="N2" s="11" t="s">
        <v>104</v>
      </c>
      <c r="S2"/>
      <c r="T2"/>
      <c r="U2"/>
    </row>
    <row r="3" s="13" customFormat="1" spans="1:21">
      <c r="A3" s="4" t="s">
        <v>8</v>
      </c>
      <c r="B3" s="5" t="s">
        <v>9</v>
      </c>
      <c r="C3" s="15">
        <v>5</v>
      </c>
      <c r="D3" s="15">
        <v>5</v>
      </c>
      <c r="E3" s="15">
        <v>5</v>
      </c>
      <c r="F3" s="15">
        <v>5</v>
      </c>
      <c r="G3" s="15">
        <v>5</v>
      </c>
      <c r="H3" s="15">
        <v>5</v>
      </c>
      <c r="I3" s="15">
        <v>5</v>
      </c>
      <c r="J3" s="15">
        <v>5</v>
      </c>
      <c r="K3" s="15">
        <v>5</v>
      </c>
      <c r="L3" s="15">
        <v>5</v>
      </c>
      <c r="M3" s="15">
        <v>5</v>
      </c>
      <c r="N3" s="11">
        <f>SUM(C3:M3)</f>
        <v>55</v>
      </c>
      <c r="S3"/>
      <c r="T3"/>
      <c r="U3"/>
    </row>
    <row r="4" s="13" customFormat="1" spans="1:21">
      <c r="A4" s="4" t="s">
        <v>10</v>
      </c>
      <c r="B4" s="5" t="s">
        <v>11</v>
      </c>
      <c r="C4" s="15">
        <v>5</v>
      </c>
      <c r="D4" s="15">
        <v>3</v>
      </c>
      <c r="E4" s="15">
        <v>4</v>
      </c>
      <c r="F4" s="15">
        <v>5</v>
      </c>
      <c r="G4" s="15">
        <v>5</v>
      </c>
      <c r="H4" s="15">
        <v>5</v>
      </c>
      <c r="I4" s="15">
        <v>5</v>
      </c>
      <c r="J4" s="15">
        <v>4</v>
      </c>
      <c r="K4" s="15">
        <v>5</v>
      </c>
      <c r="L4" s="15">
        <v>5</v>
      </c>
      <c r="M4" s="15">
        <v>5</v>
      </c>
      <c r="N4" s="11">
        <f t="shared" ref="N4:N13" si="0">SUM(C4:M4)</f>
        <v>51</v>
      </c>
      <c r="S4"/>
      <c r="T4"/>
      <c r="U4"/>
    </row>
    <row r="5" s="13" customFormat="1" spans="1:21">
      <c r="A5" s="4" t="s">
        <v>12</v>
      </c>
      <c r="B5" s="5" t="s">
        <v>13</v>
      </c>
      <c r="C5" s="20">
        <v>4</v>
      </c>
      <c r="D5" s="20">
        <v>3</v>
      </c>
      <c r="E5" s="20">
        <v>5</v>
      </c>
      <c r="F5" s="20">
        <v>5</v>
      </c>
      <c r="G5" s="20">
        <v>4</v>
      </c>
      <c r="H5" s="20">
        <v>4</v>
      </c>
      <c r="I5" s="20">
        <v>4</v>
      </c>
      <c r="J5" s="20">
        <v>3</v>
      </c>
      <c r="K5" s="20">
        <v>5</v>
      </c>
      <c r="L5" s="20">
        <v>5</v>
      </c>
      <c r="M5" s="20">
        <v>5</v>
      </c>
      <c r="N5" s="11">
        <f t="shared" si="0"/>
        <v>47</v>
      </c>
      <c r="S5"/>
      <c r="T5"/>
      <c r="U5"/>
    </row>
    <row r="6" s="13" customFormat="1" spans="1:21">
      <c r="A6" s="4" t="s">
        <v>14</v>
      </c>
      <c r="B6" s="5" t="s">
        <v>15</v>
      </c>
      <c r="C6" s="15">
        <v>5</v>
      </c>
      <c r="D6" s="15">
        <v>4</v>
      </c>
      <c r="E6" s="15">
        <v>5</v>
      </c>
      <c r="F6" s="15">
        <v>5</v>
      </c>
      <c r="G6" s="15">
        <v>5</v>
      </c>
      <c r="H6" s="15">
        <v>5</v>
      </c>
      <c r="I6" s="15">
        <v>5</v>
      </c>
      <c r="J6" s="15">
        <v>4</v>
      </c>
      <c r="K6" s="15">
        <v>5</v>
      </c>
      <c r="L6" s="15">
        <v>5</v>
      </c>
      <c r="M6" s="15">
        <v>5</v>
      </c>
      <c r="N6" s="11">
        <f t="shared" si="0"/>
        <v>53</v>
      </c>
      <c r="S6"/>
      <c r="T6"/>
      <c r="U6"/>
    </row>
    <row r="7" s="13" customFormat="1" spans="1:21">
      <c r="A7" s="4" t="s">
        <v>16</v>
      </c>
      <c r="B7" s="5" t="s">
        <v>17</v>
      </c>
      <c r="C7" s="15">
        <v>5</v>
      </c>
      <c r="D7" s="15">
        <v>5</v>
      </c>
      <c r="E7" s="15">
        <v>5</v>
      </c>
      <c r="F7" s="15">
        <v>5</v>
      </c>
      <c r="G7" s="15">
        <v>5</v>
      </c>
      <c r="H7" s="15">
        <v>5</v>
      </c>
      <c r="I7" s="15">
        <v>5</v>
      </c>
      <c r="J7" s="15">
        <v>5</v>
      </c>
      <c r="K7" s="15">
        <v>5</v>
      </c>
      <c r="L7" s="15">
        <v>5</v>
      </c>
      <c r="M7" s="15">
        <v>5</v>
      </c>
      <c r="N7" s="11">
        <f t="shared" si="0"/>
        <v>55</v>
      </c>
      <c r="S7"/>
      <c r="T7"/>
      <c r="U7"/>
    </row>
    <row r="8" s="13" customFormat="1" spans="1:21">
      <c r="A8" s="4" t="s">
        <v>18</v>
      </c>
      <c r="B8" s="5" t="s">
        <v>19</v>
      </c>
      <c r="C8" s="15">
        <v>4</v>
      </c>
      <c r="D8" s="15">
        <v>4</v>
      </c>
      <c r="E8" s="15">
        <v>4</v>
      </c>
      <c r="F8" s="15">
        <v>3</v>
      </c>
      <c r="G8" s="15">
        <v>5</v>
      </c>
      <c r="H8" s="15">
        <v>5</v>
      </c>
      <c r="I8" s="15">
        <v>5</v>
      </c>
      <c r="J8" s="15">
        <v>4</v>
      </c>
      <c r="K8" s="15">
        <v>5</v>
      </c>
      <c r="L8" s="15">
        <v>4</v>
      </c>
      <c r="M8" s="15">
        <v>5</v>
      </c>
      <c r="N8" s="11">
        <f t="shared" si="0"/>
        <v>48</v>
      </c>
      <c r="S8"/>
      <c r="T8"/>
      <c r="U8"/>
    </row>
    <row r="9" s="13" customFormat="1" spans="1:21">
      <c r="A9" s="4" t="s">
        <v>20</v>
      </c>
      <c r="B9" s="5" t="s">
        <v>21</v>
      </c>
      <c r="C9" s="15">
        <v>5</v>
      </c>
      <c r="D9" s="15">
        <v>4</v>
      </c>
      <c r="E9" s="15">
        <v>4</v>
      </c>
      <c r="F9" s="15">
        <v>4</v>
      </c>
      <c r="G9" s="15">
        <v>5</v>
      </c>
      <c r="H9" s="15">
        <v>5</v>
      </c>
      <c r="I9" s="15">
        <v>5</v>
      </c>
      <c r="J9" s="15">
        <v>4</v>
      </c>
      <c r="K9" s="15">
        <v>5</v>
      </c>
      <c r="L9" s="15">
        <v>5</v>
      </c>
      <c r="M9" s="15">
        <v>5</v>
      </c>
      <c r="N9" s="11">
        <f t="shared" si="0"/>
        <v>51</v>
      </c>
      <c r="S9"/>
      <c r="T9"/>
      <c r="U9"/>
    </row>
    <row r="10" s="13" customFormat="1" spans="1:21">
      <c r="A10" s="4" t="s">
        <v>22</v>
      </c>
      <c r="B10" s="5" t="s">
        <v>23</v>
      </c>
      <c r="C10" s="15">
        <v>5</v>
      </c>
      <c r="D10" s="15">
        <v>3</v>
      </c>
      <c r="E10" s="15">
        <v>5</v>
      </c>
      <c r="F10" s="15">
        <v>5</v>
      </c>
      <c r="G10" s="15">
        <v>5</v>
      </c>
      <c r="H10" s="15">
        <v>5</v>
      </c>
      <c r="I10" s="15">
        <v>5</v>
      </c>
      <c r="J10" s="15">
        <v>5</v>
      </c>
      <c r="K10" s="15">
        <v>5</v>
      </c>
      <c r="L10" s="15">
        <v>5</v>
      </c>
      <c r="M10" s="15">
        <v>5</v>
      </c>
      <c r="N10" s="11">
        <f t="shared" si="0"/>
        <v>53</v>
      </c>
      <c r="S10"/>
      <c r="T10"/>
      <c r="U10"/>
    </row>
    <row r="11" s="13" customFormat="1" spans="1:21">
      <c r="A11" s="4" t="s">
        <v>24</v>
      </c>
      <c r="B11" s="5" t="s">
        <v>25</v>
      </c>
      <c r="C11" s="15">
        <v>5</v>
      </c>
      <c r="D11" s="15">
        <v>4</v>
      </c>
      <c r="E11" s="15">
        <v>5</v>
      </c>
      <c r="F11" s="15">
        <v>5</v>
      </c>
      <c r="G11" s="15">
        <v>5</v>
      </c>
      <c r="H11" s="15">
        <v>5</v>
      </c>
      <c r="I11" s="15">
        <v>5</v>
      </c>
      <c r="J11" s="15">
        <v>5</v>
      </c>
      <c r="K11" s="15">
        <v>5</v>
      </c>
      <c r="L11" s="15">
        <v>5</v>
      </c>
      <c r="M11" s="15">
        <v>5</v>
      </c>
      <c r="N11" s="11">
        <f t="shared" si="0"/>
        <v>54</v>
      </c>
      <c r="S11"/>
      <c r="T11"/>
      <c r="U11"/>
    </row>
    <row r="12" customFormat="1" ht="14" customHeight="1" spans="1:14">
      <c r="A12" s="4" t="s">
        <v>26</v>
      </c>
      <c r="B12" s="5" t="s">
        <v>27</v>
      </c>
      <c r="C12" s="15">
        <v>4</v>
      </c>
      <c r="D12" s="15">
        <v>2</v>
      </c>
      <c r="E12" s="15">
        <v>4</v>
      </c>
      <c r="F12" s="15">
        <v>5</v>
      </c>
      <c r="G12" s="15">
        <v>4</v>
      </c>
      <c r="H12" s="15">
        <v>3</v>
      </c>
      <c r="I12" s="15">
        <v>3</v>
      </c>
      <c r="J12" s="15">
        <v>2</v>
      </c>
      <c r="K12" s="15">
        <v>5</v>
      </c>
      <c r="L12" s="15">
        <v>5</v>
      </c>
      <c r="M12" s="15">
        <v>5</v>
      </c>
      <c r="N12" s="11">
        <f t="shared" si="0"/>
        <v>42</v>
      </c>
    </row>
    <row r="13" s="13" customFormat="1" spans="1:21">
      <c r="A13" s="4" t="s">
        <v>28</v>
      </c>
      <c r="B13" s="5" t="s">
        <v>29</v>
      </c>
      <c r="C13" s="15">
        <v>4</v>
      </c>
      <c r="D13" s="15">
        <v>4</v>
      </c>
      <c r="E13" s="15">
        <v>4</v>
      </c>
      <c r="F13" s="15">
        <v>4</v>
      </c>
      <c r="G13" s="15">
        <v>5</v>
      </c>
      <c r="H13" s="15">
        <v>5</v>
      </c>
      <c r="I13" s="15">
        <v>5</v>
      </c>
      <c r="J13" s="15">
        <v>4</v>
      </c>
      <c r="K13" s="15">
        <v>5</v>
      </c>
      <c r="L13" s="15">
        <v>5</v>
      </c>
      <c r="M13" s="15">
        <v>4</v>
      </c>
      <c r="N13" s="11">
        <f t="shared" si="0"/>
        <v>49</v>
      </c>
      <c r="S13"/>
      <c r="T13"/>
      <c r="U13"/>
    </row>
    <row r="14" customFormat="1" spans="1:14">
      <c r="A14" s="4" t="s">
        <v>30</v>
      </c>
      <c r="B14" s="5" t="s">
        <v>31</v>
      </c>
      <c r="C14" s="15">
        <v>5</v>
      </c>
      <c r="D14" s="15">
        <v>5</v>
      </c>
      <c r="E14" s="15">
        <v>5</v>
      </c>
      <c r="F14" s="15">
        <v>5</v>
      </c>
      <c r="G14" s="15">
        <v>5</v>
      </c>
      <c r="H14" s="15">
        <v>5</v>
      </c>
      <c r="I14" s="15">
        <v>5</v>
      </c>
      <c r="J14" s="15">
        <v>5</v>
      </c>
      <c r="K14" s="15">
        <v>5</v>
      </c>
      <c r="L14" s="15">
        <v>5</v>
      </c>
      <c r="M14" s="15">
        <v>5</v>
      </c>
      <c r="N14" s="11">
        <f>SUM(C14:M14)</f>
        <v>55</v>
      </c>
    </row>
    <row r="15" customFormat="1" spans="1:14">
      <c r="A15" s="4" t="s">
        <v>32</v>
      </c>
      <c r="B15" s="5" t="s">
        <v>33</v>
      </c>
      <c r="C15" s="15">
        <v>4</v>
      </c>
      <c r="D15" s="15">
        <v>2</v>
      </c>
      <c r="E15" s="15">
        <v>4</v>
      </c>
      <c r="F15" s="15">
        <v>4</v>
      </c>
      <c r="G15" s="15">
        <v>5</v>
      </c>
      <c r="H15" s="15">
        <v>4</v>
      </c>
      <c r="I15" s="15">
        <v>4</v>
      </c>
      <c r="J15" s="15">
        <v>5</v>
      </c>
      <c r="K15" s="15">
        <v>5</v>
      </c>
      <c r="L15" s="15">
        <v>5</v>
      </c>
      <c r="M15" s="15">
        <v>5</v>
      </c>
      <c r="N15" s="11">
        <f>SUM(C15:M15)</f>
        <v>47</v>
      </c>
    </row>
    <row r="16" s="13" customFormat="1" spans="1:21">
      <c r="A16" s="4" t="s">
        <v>34</v>
      </c>
      <c r="B16" s="5" t="s">
        <v>35</v>
      </c>
      <c r="C16" s="15">
        <v>5</v>
      </c>
      <c r="D16" s="15">
        <v>4</v>
      </c>
      <c r="E16" s="15">
        <v>4</v>
      </c>
      <c r="F16" s="15">
        <v>4</v>
      </c>
      <c r="G16" s="15">
        <v>4</v>
      </c>
      <c r="H16" s="15">
        <v>5</v>
      </c>
      <c r="I16" s="15">
        <v>5</v>
      </c>
      <c r="J16" s="15">
        <v>4</v>
      </c>
      <c r="K16" s="15">
        <v>5</v>
      </c>
      <c r="L16" s="15">
        <v>4</v>
      </c>
      <c r="M16" s="15">
        <v>5</v>
      </c>
      <c r="N16" s="11">
        <f>SUM(C16:M16)</f>
        <v>49</v>
      </c>
      <c r="S16"/>
      <c r="T16"/>
      <c r="U16"/>
    </row>
    <row r="17" customFormat="1" spans="1:14">
      <c r="A17" s="4" t="s">
        <v>36</v>
      </c>
      <c r="B17" s="5" t="s">
        <v>37</v>
      </c>
      <c r="C17" s="15">
        <v>4</v>
      </c>
      <c r="D17" s="15">
        <v>3</v>
      </c>
      <c r="E17" s="15">
        <v>5</v>
      </c>
      <c r="F17" s="15">
        <v>5</v>
      </c>
      <c r="G17" s="15">
        <v>5</v>
      </c>
      <c r="H17" s="15">
        <v>4</v>
      </c>
      <c r="I17" s="15">
        <v>4</v>
      </c>
      <c r="J17" s="15">
        <v>3</v>
      </c>
      <c r="K17" s="15">
        <v>5</v>
      </c>
      <c r="L17" s="15">
        <v>5</v>
      </c>
      <c r="M17" s="15">
        <v>4</v>
      </c>
      <c r="N17" s="11">
        <f>SUM(C17:M17)</f>
        <v>47</v>
      </c>
    </row>
    <row r="18" customFormat="1" spans="1:14">
      <c r="A18" s="4" t="s">
        <v>38</v>
      </c>
      <c r="B18" s="5" t="s">
        <v>39</v>
      </c>
      <c r="C18" s="15">
        <v>4</v>
      </c>
      <c r="D18" s="15">
        <v>3</v>
      </c>
      <c r="E18" s="15">
        <v>5</v>
      </c>
      <c r="F18" s="15">
        <v>5</v>
      </c>
      <c r="G18" s="15">
        <v>5</v>
      </c>
      <c r="H18" s="15">
        <v>5</v>
      </c>
      <c r="I18" s="15">
        <v>4</v>
      </c>
      <c r="J18" s="15">
        <v>3</v>
      </c>
      <c r="K18" s="15">
        <v>5</v>
      </c>
      <c r="L18" s="15">
        <v>5</v>
      </c>
      <c r="M18" s="15">
        <v>5</v>
      </c>
      <c r="N18" s="11">
        <f>SUM(C18:M18)</f>
        <v>49</v>
      </c>
    </row>
    <row r="19" customFormat="1" spans="1:14">
      <c r="A19" s="4" t="s">
        <v>40</v>
      </c>
      <c r="B19" s="5" t="s">
        <v>41</v>
      </c>
      <c r="C19" s="15">
        <v>4</v>
      </c>
      <c r="D19" s="15">
        <v>3</v>
      </c>
      <c r="E19" s="15">
        <v>4</v>
      </c>
      <c r="F19" s="15">
        <v>3</v>
      </c>
      <c r="G19" s="15">
        <v>4</v>
      </c>
      <c r="H19" s="15">
        <v>3</v>
      </c>
      <c r="I19" s="15">
        <v>4</v>
      </c>
      <c r="J19" s="15">
        <v>2</v>
      </c>
      <c r="K19" s="15">
        <v>4</v>
      </c>
      <c r="L19" s="15">
        <v>5</v>
      </c>
      <c r="M19" s="15">
        <v>4</v>
      </c>
      <c r="N19" s="11">
        <f>SUM(C19:M19)</f>
        <v>40</v>
      </c>
    </row>
    <row r="20" customFormat="1" spans="1:14">
      <c r="A20" s="4" t="s">
        <v>42</v>
      </c>
      <c r="B20" s="5" t="s">
        <v>43</v>
      </c>
      <c r="C20" s="15">
        <v>4</v>
      </c>
      <c r="D20" s="15">
        <v>3</v>
      </c>
      <c r="E20" s="15">
        <v>5</v>
      </c>
      <c r="F20" s="15">
        <v>5</v>
      </c>
      <c r="G20" s="15">
        <v>4</v>
      </c>
      <c r="H20" s="15">
        <v>3</v>
      </c>
      <c r="I20" s="15">
        <v>4</v>
      </c>
      <c r="J20" s="15">
        <v>5</v>
      </c>
      <c r="K20" s="15">
        <v>5</v>
      </c>
      <c r="L20" s="15">
        <v>5</v>
      </c>
      <c r="M20" s="15">
        <v>5</v>
      </c>
      <c r="N20" s="11">
        <f>SUM(C20:M20)</f>
        <v>48</v>
      </c>
    </row>
    <row r="21" customFormat="1" spans="1:14">
      <c r="A21" s="4" t="s">
        <v>44</v>
      </c>
      <c r="B21" s="5" t="s">
        <v>45</v>
      </c>
      <c r="C21" s="15">
        <v>3</v>
      </c>
      <c r="D21" s="15">
        <v>2</v>
      </c>
      <c r="E21" s="15">
        <v>4</v>
      </c>
      <c r="F21" s="15">
        <v>4</v>
      </c>
      <c r="G21" s="15">
        <v>4</v>
      </c>
      <c r="H21" s="15">
        <v>3</v>
      </c>
      <c r="I21" s="15">
        <v>3</v>
      </c>
      <c r="J21" s="15">
        <v>3</v>
      </c>
      <c r="K21" s="15">
        <v>5</v>
      </c>
      <c r="L21" s="15">
        <v>4</v>
      </c>
      <c r="M21" s="15">
        <v>4</v>
      </c>
      <c r="N21" s="11">
        <f>SUM(C21:M21)</f>
        <v>39</v>
      </c>
    </row>
    <row r="22" customFormat="1" spans="1:14">
      <c r="A22" s="4" t="s">
        <v>46</v>
      </c>
      <c r="B22" s="5" t="s">
        <v>47</v>
      </c>
      <c r="C22" s="15">
        <v>5</v>
      </c>
      <c r="D22" s="15">
        <v>5</v>
      </c>
      <c r="E22" s="15">
        <v>4</v>
      </c>
      <c r="F22" s="15">
        <v>3</v>
      </c>
      <c r="G22" s="15">
        <v>5</v>
      </c>
      <c r="H22" s="15">
        <v>5</v>
      </c>
      <c r="I22" s="15">
        <v>5</v>
      </c>
      <c r="J22" s="15">
        <v>5</v>
      </c>
      <c r="K22" s="15">
        <v>5</v>
      </c>
      <c r="L22" s="15">
        <v>4</v>
      </c>
      <c r="M22" s="15">
        <v>5</v>
      </c>
      <c r="N22" s="11">
        <f>SUM(C22:M22)</f>
        <v>51</v>
      </c>
    </row>
    <row r="23" customFormat="1" spans="1:14">
      <c r="A23" s="4" t="s">
        <v>48</v>
      </c>
      <c r="B23" s="5" t="s">
        <v>49</v>
      </c>
      <c r="C23" s="15">
        <v>2</v>
      </c>
      <c r="D23" s="15">
        <v>3</v>
      </c>
      <c r="E23" s="15">
        <v>5</v>
      </c>
      <c r="F23" s="15">
        <v>4</v>
      </c>
      <c r="G23" s="15">
        <v>2</v>
      </c>
      <c r="H23" s="15">
        <v>2</v>
      </c>
      <c r="I23" s="15">
        <v>5</v>
      </c>
      <c r="J23" s="15">
        <v>4</v>
      </c>
      <c r="K23" s="15">
        <v>5</v>
      </c>
      <c r="L23" s="15">
        <v>5</v>
      </c>
      <c r="M23" s="15">
        <v>5</v>
      </c>
      <c r="N23" s="11">
        <f>SUM(C23:M23)</f>
        <v>42</v>
      </c>
    </row>
    <row r="24" customFormat="1" ht="13" customHeight="1" spans="1:14">
      <c r="A24" s="4" t="s">
        <v>50</v>
      </c>
      <c r="B24" s="5" t="s">
        <v>51</v>
      </c>
      <c r="C24" s="15">
        <v>5</v>
      </c>
      <c r="D24" s="15">
        <v>5</v>
      </c>
      <c r="E24" s="15">
        <v>5</v>
      </c>
      <c r="F24" s="15">
        <v>5</v>
      </c>
      <c r="G24" s="15">
        <v>5</v>
      </c>
      <c r="H24" s="15">
        <v>5</v>
      </c>
      <c r="I24" s="15">
        <v>5</v>
      </c>
      <c r="J24" s="15">
        <v>5</v>
      </c>
      <c r="K24" s="15">
        <v>5</v>
      </c>
      <c r="L24" s="15">
        <v>5</v>
      </c>
      <c r="M24" s="15">
        <v>5</v>
      </c>
      <c r="N24" s="11">
        <f>SUM(C24:M24)</f>
        <v>55</v>
      </c>
    </row>
    <row r="25" customFormat="1" ht="13" customHeight="1" spans="1:14">
      <c r="A25" s="4" t="s">
        <v>52</v>
      </c>
      <c r="B25" s="5" t="s">
        <v>53</v>
      </c>
      <c r="C25" s="15">
        <v>4</v>
      </c>
      <c r="D25" s="15">
        <v>4</v>
      </c>
      <c r="E25" s="15">
        <v>4</v>
      </c>
      <c r="F25" s="15">
        <v>4</v>
      </c>
      <c r="G25" s="15">
        <v>5</v>
      </c>
      <c r="H25" s="15">
        <v>4</v>
      </c>
      <c r="I25" s="15">
        <v>4</v>
      </c>
      <c r="J25" s="15">
        <v>3</v>
      </c>
      <c r="K25" s="15">
        <v>5</v>
      </c>
      <c r="L25" s="15">
        <v>5</v>
      </c>
      <c r="M25" s="15">
        <v>5</v>
      </c>
      <c r="N25" s="11">
        <f>SUM(C25:M25)</f>
        <v>47</v>
      </c>
    </row>
    <row r="26" customFormat="1" spans="1:14">
      <c r="A26" s="4" t="s">
        <v>54</v>
      </c>
      <c r="B26" s="5" t="s">
        <v>55</v>
      </c>
      <c r="C26" s="15">
        <v>5</v>
      </c>
      <c r="D26" s="15">
        <v>5</v>
      </c>
      <c r="E26" s="15">
        <v>5</v>
      </c>
      <c r="F26" s="15">
        <v>5</v>
      </c>
      <c r="G26" s="15">
        <v>5</v>
      </c>
      <c r="H26" s="15">
        <v>5</v>
      </c>
      <c r="I26" s="15">
        <v>5</v>
      </c>
      <c r="J26" s="15">
        <v>4</v>
      </c>
      <c r="K26" s="15">
        <v>5</v>
      </c>
      <c r="L26" s="15">
        <v>4</v>
      </c>
      <c r="M26" s="15">
        <v>5</v>
      </c>
      <c r="N26" s="11">
        <f>SUM(C26:M26)</f>
        <v>53</v>
      </c>
    </row>
    <row r="27" customFormat="1" spans="1:14">
      <c r="A27" s="4" t="s">
        <v>56</v>
      </c>
      <c r="B27" s="5" t="s">
        <v>57</v>
      </c>
      <c r="C27" s="15">
        <v>5</v>
      </c>
      <c r="D27" s="15">
        <v>5</v>
      </c>
      <c r="E27" s="15">
        <v>5</v>
      </c>
      <c r="F27" s="15">
        <v>5</v>
      </c>
      <c r="G27" s="15">
        <v>5</v>
      </c>
      <c r="H27" s="15">
        <v>5</v>
      </c>
      <c r="I27" s="15">
        <v>5</v>
      </c>
      <c r="J27" s="15">
        <v>4</v>
      </c>
      <c r="K27" s="15">
        <v>5</v>
      </c>
      <c r="L27" s="15">
        <v>5</v>
      </c>
      <c r="M27" s="15">
        <v>5</v>
      </c>
      <c r="N27" s="11">
        <f>SUM(C27:M27)</f>
        <v>54</v>
      </c>
    </row>
    <row r="28" customFormat="1" spans="1:14">
      <c r="A28" s="4" t="s">
        <v>58</v>
      </c>
      <c r="B28" s="5" t="s">
        <v>59</v>
      </c>
      <c r="C28" s="15">
        <v>5</v>
      </c>
      <c r="D28" s="15">
        <v>5</v>
      </c>
      <c r="E28" s="15">
        <v>5</v>
      </c>
      <c r="F28" s="15">
        <v>5</v>
      </c>
      <c r="G28" s="15">
        <v>5</v>
      </c>
      <c r="H28" s="15">
        <v>5</v>
      </c>
      <c r="I28" s="15">
        <v>5</v>
      </c>
      <c r="J28" s="15">
        <v>5</v>
      </c>
      <c r="K28" s="15">
        <v>5</v>
      </c>
      <c r="L28" s="15">
        <v>5</v>
      </c>
      <c r="M28" s="15">
        <v>5</v>
      </c>
      <c r="N28" s="11">
        <f>SUM(C28:M28)</f>
        <v>55</v>
      </c>
    </row>
    <row r="29" customFormat="1" spans="1:14">
      <c r="A29" s="4" t="s">
        <v>60</v>
      </c>
      <c r="B29" s="5" t="s">
        <v>61</v>
      </c>
      <c r="C29" s="15">
        <v>4</v>
      </c>
      <c r="D29" s="15">
        <v>4</v>
      </c>
      <c r="E29" s="15">
        <v>5</v>
      </c>
      <c r="F29" s="15">
        <v>4</v>
      </c>
      <c r="G29" s="15">
        <v>4</v>
      </c>
      <c r="H29" s="15">
        <v>4</v>
      </c>
      <c r="I29" s="15">
        <v>4</v>
      </c>
      <c r="J29" s="15">
        <v>5</v>
      </c>
      <c r="K29" s="15">
        <v>5</v>
      </c>
      <c r="L29" s="15">
        <v>5</v>
      </c>
      <c r="M29" s="15">
        <v>5</v>
      </c>
      <c r="N29" s="11">
        <f>SUM(C29:M29)</f>
        <v>49</v>
      </c>
    </row>
    <row r="30" customFormat="1" spans="1:14">
      <c r="A30" s="4" t="s">
        <v>62</v>
      </c>
      <c r="B30" s="5" t="s">
        <v>63</v>
      </c>
      <c r="C30" s="15">
        <v>5</v>
      </c>
      <c r="D30" s="15">
        <v>3</v>
      </c>
      <c r="E30" s="15">
        <v>5</v>
      </c>
      <c r="F30" s="15">
        <v>5</v>
      </c>
      <c r="G30" s="15">
        <v>5</v>
      </c>
      <c r="H30" s="15">
        <v>5</v>
      </c>
      <c r="I30" s="15">
        <v>5</v>
      </c>
      <c r="J30" s="15">
        <v>4</v>
      </c>
      <c r="K30" s="15">
        <v>5</v>
      </c>
      <c r="L30" s="15">
        <v>5</v>
      </c>
      <c r="M30" s="15">
        <v>5</v>
      </c>
      <c r="N30" s="11">
        <f>SUM(C30:M30)</f>
        <v>52</v>
      </c>
    </row>
    <row r="31" customFormat="1" spans="1:14">
      <c r="A31" s="4" t="s">
        <v>64</v>
      </c>
      <c r="B31" s="5" t="s">
        <v>65</v>
      </c>
      <c r="C31" s="15">
        <v>5</v>
      </c>
      <c r="D31" s="15">
        <v>3</v>
      </c>
      <c r="E31" s="15">
        <v>5</v>
      </c>
      <c r="F31" s="15">
        <v>5</v>
      </c>
      <c r="G31" s="15">
        <v>5</v>
      </c>
      <c r="H31" s="15">
        <v>5</v>
      </c>
      <c r="I31" s="15">
        <v>5</v>
      </c>
      <c r="J31" s="15">
        <v>5</v>
      </c>
      <c r="K31" s="15">
        <v>5</v>
      </c>
      <c r="L31" s="15">
        <v>5</v>
      </c>
      <c r="M31" s="15">
        <v>5</v>
      </c>
      <c r="N31" s="11">
        <f>SUM(C31:M31)</f>
        <v>53</v>
      </c>
    </row>
    <row r="32" customFormat="1" spans="1:14">
      <c r="A32" s="4" t="s">
        <v>66</v>
      </c>
      <c r="B32" s="5" t="s">
        <v>67</v>
      </c>
      <c r="C32" s="15">
        <v>4</v>
      </c>
      <c r="D32" s="15">
        <v>4</v>
      </c>
      <c r="E32" s="15">
        <v>5</v>
      </c>
      <c r="F32" s="15">
        <v>5</v>
      </c>
      <c r="G32" s="15">
        <v>5</v>
      </c>
      <c r="H32" s="15">
        <v>5</v>
      </c>
      <c r="I32" s="15">
        <v>5</v>
      </c>
      <c r="J32" s="15">
        <v>5</v>
      </c>
      <c r="K32" s="15">
        <v>5</v>
      </c>
      <c r="L32" s="15">
        <v>5</v>
      </c>
      <c r="M32" s="15">
        <v>5</v>
      </c>
      <c r="N32" s="11">
        <f>SUM(C32:M32)</f>
        <v>53</v>
      </c>
    </row>
    <row r="33" customFormat="1" spans="1:14">
      <c r="A33" s="4" t="s">
        <v>68</v>
      </c>
      <c r="B33" s="5" t="s">
        <v>69</v>
      </c>
      <c r="C33" s="15">
        <v>4</v>
      </c>
      <c r="D33" s="15">
        <v>4</v>
      </c>
      <c r="E33" s="15">
        <v>3</v>
      </c>
      <c r="F33" s="15">
        <v>5</v>
      </c>
      <c r="G33" s="15">
        <v>4</v>
      </c>
      <c r="H33" s="15">
        <v>5</v>
      </c>
      <c r="I33" s="15">
        <v>4</v>
      </c>
      <c r="J33" s="15">
        <v>5</v>
      </c>
      <c r="K33" s="15">
        <v>5</v>
      </c>
      <c r="L33" s="15">
        <v>5</v>
      </c>
      <c r="M33" s="15">
        <v>5</v>
      </c>
      <c r="N33" s="11">
        <f>SUM(C33:M33)</f>
        <v>49</v>
      </c>
    </row>
    <row r="34" customFormat="1" spans="1:14">
      <c r="A34" s="4" t="s">
        <v>70</v>
      </c>
      <c r="B34" s="5" t="s">
        <v>71</v>
      </c>
      <c r="C34" s="20">
        <v>3</v>
      </c>
      <c r="D34" s="20">
        <v>2</v>
      </c>
      <c r="E34" s="20">
        <v>2</v>
      </c>
      <c r="F34" s="20">
        <v>3</v>
      </c>
      <c r="G34" s="20">
        <v>4</v>
      </c>
      <c r="H34" s="20">
        <v>3</v>
      </c>
      <c r="I34" s="20">
        <v>3</v>
      </c>
      <c r="J34" s="20">
        <v>3</v>
      </c>
      <c r="K34" s="20">
        <v>4</v>
      </c>
      <c r="L34" s="20">
        <v>4</v>
      </c>
      <c r="M34" s="20">
        <v>5</v>
      </c>
      <c r="N34" s="11">
        <f>SUM(C34:M34)</f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13" workbookViewId="0">
      <selection activeCell="A33" sqref="$A33:$XFD33"/>
    </sheetView>
  </sheetViews>
  <sheetFormatPr defaultColWidth="8.61261261261261" defaultRowHeight="14.1"/>
  <cols>
    <col min="2" max="2" width="10.4234234234234" customWidth="1"/>
    <col min="3" max="12" width="7.95495495495495" customWidth="1"/>
    <col min="13" max="14" width="13.981981981982" customWidth="1"/>
  </cols>
  <sheetData>
    <row r="1" s="12" customFormat="1" spans="1:14">
      <c r="A1" s="13" t="s">
        <v>105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7"/>
      <c r="N1" s="17"/>
    </row>
    <row r="2" customFormat="1" spans="1:14">
      <c r="A2" s="1" t="s">
        <v>91</v>
      </c>
      <c r="B2" s="1" t="s">
        <v>92</v>
      </c>
      <c r="C2" s="14" t="s">
        <v>106</v>
      </c>
      <c r="D2" s="14" t="s">
        <v>107</v>
      </c>
      <c r="E2" s="14" t="s">
        <v>108</v>
      </c>
      <c r="F2" s="14" t="s">
        <v>109</v>
      </c>
      <c r="G2" s="14" t="s">
        <v>110</v>
      </c>
      <c r="H2" s="14" t="s">
        <v>111</v>
      </c>
      <c r="I2" s="14" t="s">
        <v>112</v>
      </c>
      <c r="J2" s="14" t="s">
        <v>113</v>
      </c>
      <c r="K2" s="14" t="s">
        <v>114</v>
      </c>
      <c r="L2" s="14" t="s">
        <v>115</v>
      </c>
      <c r="M2" s="11" t="s">
        <v>116</v>
      </c>
      <c r="N2" s="11" t="s">
        <v>117</v>
      </c>
    </row>
    <row r="3" customFormat="1" spans="1:14">
      <c r="A3" s="4" t="s">
        <v>8</v>
      </c>
      <c r="B3" s="5" t="s">
        <v>9</v>
      </c>
      <c r="C3" s="15">
        <v>3</v>
      </c>
      <c r="D3" s="15">
        <v>3</v>
      </c>
      <c r="E3" s="15">
        <v>3</v>
      </c>
      <c r="F3" s="15">
        <v>3</v>
      </c>
      <c r="G3" s="15">
        <v>3</v>
      </c>
      <c r="H3" s="15">
        <v>2</v>
      </c>
      <c r="I3" s="15">
        <v>2</v>
      </c>
      <c r="J3" s="15">
        <v>2</v>
      </c>
      <c r="K3" s="15">
        <v>3</v>
      </c>
      <c r="L3" s="15">
        <v>2</v>
      </c>
      <c r="M3" s="11">
        <f>SUM(C3:G3)</f>
        <v>15</v>
      </c>
      <c r="N3" s="11">
        <f>SUM(H3:L3)</f>
        <v>11</v>
      </c>
    </row>
    <row r="4" customFormat="1" spans="1:14">
      <c r="A4" s="4" t="s">
        <v>10</v>
      </c>
      <c r="B4" s="5" t="s">
        <v>11</v>
      </c>
      <c r="C4" s="15">
        <v>5</v>
      </c>
      <c r="D4" s="15">
        <v>5</v>
      </c>
      <c r="E4" s="15">
        <v>3</v>
      </c>
      <c r="F4" s="15">
        <v>5</v>
      </c>
      <c r="G4" s="15">
        <v>5</v>
      </c>
      <c r="H4" s="15">
        <v>2</v>
      </c>
      <c r="I4" s="15">
        <v>1</v>
      </c>
      <c r="J4" s="15">
        <v>1</v>
      </c>
      <c r="K4" s="15">
        <v>4</v>
      </c>
      <c r="L4" s="15">
        <v>1</v>
      </c>
      <c r="M4" s="11">
        <f t="shared" ref="M4:M13" si="0">SUM(C4:G4)</f>
        <v>23</v>
      </c>
      <c r="N4" s="11">
        <f t="shared" ref="N4:N38" si="1">SUM(H4:L4)</f>
        <v>9</v>
      </c>
    </row>
    <row r="5" customFormat="1" spans="1:14">
      <c r="A5" s="4" t="s">
        <v>12</v>
      </c>
      <c r="B5" s="5" t="s">
        <v>13</v>
      </c>
      <c r="C5" s="16">
        <v>4</v>
      </c>
      <c r="D5" s="16">
        <v>3</v>
      </c>
      <c r="E5" s="16">
        <v>4</v>
      </c>
      <c r="F5" s="16">
        <v>4</v>
      </c>
      <c r="G5" s="16">
        <v>4</v>
      </c>
      <c r="H5" s="16">
        <v>2</v>
      </c>
      <c r="I5" s="16">
        <v>3</v>
      </c>
      <c r="J5" s="16">
        <v>2</v>
      </c>
      <c r="K5" s="16">
        <v>3</v>
      </c>
      <c r="L5" s="16">
        <v>3</v>
      </c>
      <c r="M5" s="11">
        <f t="shared" si="0"/>
        <v>19</v>
      </c>
      <c r="N5" s="11">
        <f t="shared" si="1"/>
        <v>13</v>
      </c>
    </row>
    <row r="6" customFormat="1" spans="1:14">
      <c r="A6" s="4" t="s">
        <v>14</v>
      </c>
      <c r="B6" s="5" t="s">
        <v>15</v>
      </c>
      <c r="C6" s="15">
        <v>4</v>
      </c>
      <c r="D6" s="15">
        <v>4</v>
      </c>
      <c r="E6" s="15">
        <v>5</v>
      </c>
      <c r="F6" s="15">
        <v>5</v>
      </c>
      <c r="G6" s="15">
        <v>3</v>
      </c>
      <c r="H6" s="15">
        <v>1</v>
      </c>
      <c r="I6" s="15">
        <v>1</v>
      </c>
      <c r="J6" s="15">
        <v>1</v>
      </c>
      <c r="K6" s="15">
        <v>2</v>
      </c>
      <c r="L6" s="15">
        <v>1</v>
      </c>
      <c r="M6" s="11">
        <f t="shared" si="0"/>
        <v>21</v>
      </c>
      <c r="N6" s="11">
        <f t="shared" si="1"/>
        <v>6</v>
      </c>
    </row>
    <row r="7" customFormat="1" spans="1:14">
      <c r="A7" s="4" t="s">
        <v>16</v>
      </c>
      <c r="B7" s="5" t="s">
        <v>17</v>
      </c>
      <c r="C7" s="15">
        <v>4</v>
      </c>
      <c r="D7" s="15">
        <v>4</v>
      </c>
      <c r="E7" s="15">
        <v>4</v>
      </c>
      <c r="F7" s="15">
        <v>4</v>
      </c>
      <c r="G7" s="15">
        <v>4</v>
      </c>
      <c r="H7" s="15">
        <v>1</v>
      </c>
      <c r="I7" s="15">
        <v>2</v>
      </c>
      <c r="J7" s="15">
        <v>4</v>
      </c>
      <c r="K7" s="15">
        <v>4</v>
      </c>
      <c r="L7" s="15">
        <v>3</v>
      </c>
      <c r="M7" s="11">
        <f t="shared" si="0"/>
        <v>20</v>
      </c>
      <c r="N7" s="11">
        <f t="shared" si="1"/>
        <v>14</v>
      </c>
    </row>
    <row r="8" customFormat="1" spans="1:14">
      <c r="A8" s="4" t="s">
        <v>18</v>
      </c>
      <c r="B8" s="5" t="s">
        <v>19</v>
      </c>
      <c r="C8" s="15">
        <v>4</v>
      </c>
      <c r="D8" s="15">
        <v>4</v>
      </c>
      <c r="E8" s="15">
        <v>4</v>
      </c>
      <c r="F8" s="15">
        <v>4</v>
      </c>
      <c r="G8" s="15">
        <v>4</v>
      </c>
      <c r="H8" s="15">
        <v>1</v>
      </c>
      <c r="I8" s="15">
        <v>1</v>
      </c>
      <c r="J8" s="15">
        <v>2</v>
      </c>
      <c r="K8" s="15">
        <v>3</v>
      </c>
      <c r="L8" s="15">
        <v>2</v>
      </c>
      <c r="M8" s="11">
        <f t="shared" si="0"/>
        <v>20</v>
      </c>
      <c r="N8" s="11">
        <f t="shared" si="1"/>
        <v>9</v>
      </c>
    </row>
    <row r="9" customFormat="1" spans="1:14">
      <c r="A9" s="4" t="s">
        <v>20</v>
      </c>
      <c r="B9" s="5" t="s">
        <v>21</v>
      </c>
      <c r="C9" s="15">
        <v>4</v>
      </c>
      <c r="D9" s="15">
        <v>4</v>
      </c>
      <c r="E9" s="15">
        <v>4</v>
      </c>
      <c r="F9" s="15">
        <v>4</v>
      </c>
      <c r="G9" s="15">
        <v>4</v>
      </c>
      <c r="H9" s="15">
        <v>3</v>
      </c>
      <c r="I9" s="15">
        <v>3</v>
      </c>
      <c r="J9" s="15">
        <v>4</v>
      </c>
      <c r="K9" s="15">
        <v>3</v>
      </c>
      <c r="L9" s="15">
        <v>3</v>
      </c>
      <c r="M9" s="11">
        <f t="shared" si="0"/>
        <v>20</v>
      </c>
      <c r="N9" s="11">
        <f t="shared" si="1"/>
        <v>16</v>
      </c>
    </row>
    <row r="10" customFormat="1" spans="1:14">
      <c r="A10" s="4" t="s">
        <v>22</v>
      </c>
      <c r="B10" s="5" t="s">
        <v>23</v>
      </c>
      <c r="C10" s="15">
        <v>4</v>
      </c>
      <c r="D10" s="15">
        <v>4</v>
      </c>
      <c r="E10" s="15">
        <v>5</v>
      </c>
      <c r="F10" s="15">
        <v>5</v>
      </c>
      <c r="G10" s="15">
        <v>5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1">
        <f t="shared" si="0"/>
        <v>23</v>
      </c>
      <c r="N10" s="11">
        <f t="shared" si="1"/>
        <v>5</v>
      </c>
    </row>
    <row r="11" customFormat="1" spans="1:14">
      <c r="A11" s="4" t="s">
        <v>24</v>
      </c>
      <c r="B11" s="5" t="s">
        <v>25</v>
      </c>
      <c r="C11" s="15">
        <v>4</v>
      </c>
      <c r="D11" s="15">
        <v>4</v>
      </c>
      <c r="E11" s="15">
        <v>4</v>
      </c>
      <c r="F11" s="15">
        <v>5</v>
      </c>
      <c r="G11" s="15">
        <v>4</v>
      </c>
      <c r="H11" s="15">
        <v>2</v>
      </c>
      <c r="I11" s="15">
        <v>2</v>
      </c>
      <c r="J11" s="15">
        <v>2</v>
      </c>
      <c r="K11" s="15">
        <v>2</v>
      </c>
      <c r="L11" s="15">
        <v>1</v>
      </c>
      <c r="M11" s="11">
        <f t="shared" si="0"/>
        <v>21</v>
      </c>
      <c r="N11" s="11">
        <f t="shared" si="1"/>
        <v>9</v>
      </c>
    </row>
    <row r="12" customFormat="1" spans="1:14">
      <c r="A12" s="4" t="s">
        <v>26</v>
      </c>
      <c r="B12" s="5" t="s">
        <v>27</v>
      </c>
      <c r="C12" s="15">
        <v>3</v>
      </c>
      <c r="D12" s="15">
        <v>3</v>
      </c>
      <c r="E12" s="15">
        <v>2</v>
      </c>
      <c r="F12" s="15">
        <v>3</v>
      </c>
      <c r="G12" s="15">
        <v>3</v>
      </c>
      <c r="H12" s="15">
        <v>3</v>
      </c>
      <c r="I12" s="15">
        <v>4</v>
      </c>
      <c r="J12" s="15">
        <v>3</v>
      </c>
      <c r="K12" s="15">
        <v>3</v>
      </c>
      <c r="L12" s="15">
        <v>2</v>
      </c>
      <c r="M12" s="11">
        <f t="shared" si="0"/>
        <v>14</v>
      </c>
      <c r="N12" s="11">
        <f t="shared" si="1"/>
        <v>15</v>
      </c>
    </row>
    <row r="13" customFormat="1" spans="1:14">
      <c r="A13" s="4" t="s">
        <v>28</v>
      </c>
      <c r="B13" s="5" t="s">
        <v>29</v>
      </c>
      <c r="C13" s="15">
        <v>3</v>
      </c>
      <c r="D13" s="15">
        <v>3</v>
      </c>
      <c r="E13" s="15">
        <v>2</v>
      </c>
      <c r="F13" s="15">
        <v>3</v>
      </c>
      <c r="G13" s="15">
        <v>3</v>
      </c>
      <c r="H13" s="15">
        <v>1</v>
      </c>
      <c r="I13" s="15">
        <v>2</v>
      </c>
      <c r="J13" s="15">
        <v>2</v>
      </c>
      <c r="K13" s="15">
        <v>4</v>
      </c>
      <c r="L13" s="15">
        <v>3</v>
      </c>
      <c r="M13" s="11">
        <f t="shared" si="0"/>
        <v>14</v>
      </c>
      <c r="N13" s="11">
        <f t="shared" si="1"/>
        <v>12</v>
      </c>
    </row>
    <row r="14" customFormat="1" spans="1:14">
      <c r="A14" s="4" t="s">
        <v>30</v>
      </c>
      <c r="B14" s="5" t="s">
        <v>31</v>
      </c>
      <c r="C14" s="15">
        <v>5</v>
      </c>
      <c r="D14" s="15">
        <v>5</v>
      </c>
      <c r="E14" s="15">
        <v>4</v>
      </c>
      <c r="F14" s="15">
        <v>3</v>
      </c>
      <c r="G14" s="15">
        <v>3</v>
      </c>
      <c r="H14" s="15">
        <v>1</v>
      </c>
      <c r="I14" s="15">
        <v>2</v>
      </c>
      <c r="J14" s="15">
        <v>5</v>
      </c>
      <c r="K14" s="15">
        <v>3</v>
      </c>
      <c r="L14" s="15">
        <v>5</v>
      </c>
      <c r="M14" s="11">
        <f>SUM(C14:G14)</f>
        <v>20</v>
      </c>
      <c r="N14" s="11">
        <f>SUM(H14:L14)</f>
        <v>16</v>
      </c>
    </row>
    <row r="15" customFormat="1" spans="1:14">
      <c r="A15" s="4" t="s">
        <v>32</v>
      </c>
      <c r="B15" s="5" t="s">
        <v>33</v>
      </c>
      <c r="C15" s="15">
        <v>5</v>
      </c>
      <c r="D15" s="15">
        <v>4</v>
      </c>
      <c r="E15" s="15">
        <v>4</v>
      </c>
      <c r="F15" s="15">
        <v>5</v>
      </c>
      <c r="G15" s="15">
        <v>5</v>
      </c>
      <c r="H15" s="15">
        <v>3</v>
      </c>
      <c r="I15" s="15">
        <v>2</v>
      </c>
      <c r="J15" s="15">
        <v>1</v>
      </c>
      <c r="K15" s="15">
        <v>5</v>
      </c>
      <c r="L15" s="15">
        <v>1</v>
      </c>
      <c r="M15" s="11">
        <f>SUM(C15:G15)</f>
        <v>23</v>
      </c>
      <c r="N15" s="11">
        <f t="shared" si="1"/>
        <v>12</v>
      </c>
    </row>
    <row r="16" customFormat="1" spans="1:14">
      <c r="A16" s="4" t="s">
        <v>34</v>
      </c>
      <c r="B16" s="5" t="s">
        <v>35</v>
      </c>
      <c r="C16" s="15">
        <v>4</v>
      </c>
      <c r="D16" s="15">
        <v>4</v>
      </c>
      <c r="E16" s="15">
        <v>4</v>
      </c>
      <c r="F16" s="15">
        <v>5</v>
      </c>
      <c r="G16" s="15">
        <v>4</v>
      </c>
      <c r="H16" s="15">
        <v>1</v>
      </c>
      <c r="I16" s="15">
        <v>2</v>
      </c>
      <c r="J16" s="15">
        <v>2</v>
      </c>
      <c r="K16" s="15">
        <v>2</v>
      </c>
      <c r="L16" s="15">
        <v>1</v>
      </c>
      <c r="M16" s="11">
        <f>SUM(C16:G16)</f>
        <v>21</v>
      </c>
      <c r="N16" s="11">
        <f t="shared" si="1"/>
        <v>8</v>
      </c>
    </row>
    <row r="17" customFormat="1" spans="1:14">
      <c r="A17" s="4" t="s">
        <v>36</v>
      </c>
      <c r="B17" s="5" t="s">
        <v>37</v>
      </c>
      <c r="C17" s="15">
        <v>4</v>
      </c>
      <c r="D17" s="15">
        <v>4</v>
      </c>
      <c r="E17" s="15">
        <v>5</v>
      </c>
      <c r="F17" s="15">
        <v>4</v>
      </c>
      <c r="G17" s="15">
        <v>3</v>
      </c>
      <c r="H17" s="15">
        <v>2</v>
      </c>
      <c r="I17" s="15">
        <v>3</v>
      </c>
      <c r="J17" s="15">
        <v>2</v>
      </c>
      <c r="K17" s="15">
        <v>3</v>
      </c>
      <c r="L17" s="15">
        <v>1</v>
      </c>
      <c r="M17" s="11">
        <f>SUM(C17:G17)</f>
        <v>20</v>
      </c>
      <c r="N17" s="11">
        <f t="shared" si="1"/>
        <v>11</v>
      </c>
    </row>
    <row r="18" customFormat="1" spans="1:14">
      <c r="A18" s="4" t="s">
        <v>38</v>
      </c>
      <c r="B18" s="5" t="s">
        <v>39</v>
      </c>
      <c r="C18" s="15">
        <v>3</v>
      </c>
      <c r="D18" s="15">
        <v>4</v>
      </c>
      <c r="E18" s="15">
        <v>2</v>
      </c>
      <c r="F18" s="15">
        <v>3</v>
      </c>
      <c r="G18" s="15">
        <v>3</v>
      </c>
      <c r="H18" s="15">
        <v>2</v>
      </c>
      <c r="I18" s="15">
        <v>2</v>
      </c>
      <c r="J18" s="15">
        <v>3</v>
      </c>
      <c r="K18" s="15">
        <v>3</v>
      </c>
      <c r="L18" s="15">
        <v>3</v>
      </c>
      <c r="M18" s="11">
        <f>SUM(C18:G18)</f>
        <v>15</v>
      </c>
      <c r="N18" s="11">
        <f t="shared" si="1"/>
        <v>13</v>
      </c>
    </row>
    <row r="19" customFormat="1" spans="1:14">
      <c r="A19" s="4" t="s">
        <v>40</v>
      </c>
      <c r="B19" s="5" t="s">
        <v>41</v>
      </c>
      <c r="C19" s="15">
        <v>4</v>
      </c>
      <c r="D19" s="15">
        <v>4</v>
      </c>
      <c r="E19" s="15">
        <v>4</v>
      </c>
      <c r="F19" s="15">
        <v>4</v>
      </c>
      <c r="G19" s="15">
        <v>5</v>
      </c>
      <c r="H19" s="15">
        <v>1</v>
      </c>
      <c r="I19" s="15">
        <v>2</v>
      </c>
      <c r="J19" s="15">
        <v>2</v>
      </c>
      <c r="K19" s="15">
        <v>3</v>
      </c>
      <c r="L19" s="15">
        <v>1</v>
      </c>
      <c r="M19" s="11">
        <f>SUM(C19:G19)</f>
        <v>21</v>
      </c>
      <c r="N19" s="11">
        <f t="shared" si="1"/>
        <v>9</v>
      </c>
    </row>
    <row r="20" customFormat="1" spans="1:14">
      <c r="A20" s="4" t="s">
        <v>42</v>
      </c>
      <c r="B20" s="5" t="s">
        <v>43</v>
      </c>
      <c r="C20" s="15">
        <v>4</v>
      </c>
      <c r="D20" s="15">
        <v>4</v>
      </c>
      <c r="E20" s="15">
        <v>5</v>
      </c>
      <c r="F20" s="15">
        <v>5</v>
      </c>
      <c r="G20" s="15">
        <v>4</v>
      </c>
      <c r="H20" s="15">
        <v>2</v>
      </c>
      <c r="I20" s="15">
        <v>2</v>
      </c>
      <c r="J20" s="15">
        <v>2</v>
      </c>
      <c r="K20" s="15">
        <v>2</v>
      </c>
      <c r="L20" s="15">
        <v>1</v>
      </c>
      <c r="M20" s="11">
        <f>SUM(C20:G20)</f>
        <v>22</v>
      </c>
      <c r="N20" s="11">
        <f t="shared" si="1"/>
        <v>9</v>
      </c>
    </row>
    <row r="21" customFormat="1" spans="1:14">
      <c r="A21" s="4" t="s">
        <v>44</v>
      </c>
      <c r="B21" s="5" t="s">
        <v>45</v>
      </c>
      <c r="C21" s="15">
        <v>4</v>
      </c>
      <c r="D21" s="15">
        <v>4</v>
      </c>
      <c r="E21" s="15">
        <v>4</v>
      </c>
      <c r="F21" s="15">
        <v>3</v>
      </c>
      <c r="G21" s="15">
        <v>4</v>
      </c>
      <c r="H21" s="15">
        <v>2</v>
      </c>
      <c r="I21" s="15">
        <v>2</v>
      </c>
      <c r="J21" s="15">
        <v>3</v>
      </c>
      <c r="K21" s="15">
        <v>3</v>
      </c>
      <c r="L21" s="15">
        <v>1</v>
      </c>
      <c r="M21" s="11">
        <f>SUM(C21:G21)</f>
        <v>19</v>
      </c>
      <c r="N21" s="11">
        <f t="shared" si="1"/>
        <v>11</v>
      </c>
    </row>
    <row r="22" customFormat="1" spans="1:14">
      <c r="A22" s="4" t="s">
        <v>46</v>
      </c>
      <c r="B22" s="5" t="s">
        <v>47</v>
      </c>
      <c r="C22" s="15">
        <v>5</v>
      </c>
      <c r="D22" s="15">
        <v>5</v>
      </c>
      <c r="E22" s="15">
        <v>5</v>
      </c>
      <c r="F22" s="15">
        <v>5</v>
      </c>
      <c r="G22" s="15">
        <v>5</v>
      </c>
      <c r="H22" s="15">
        <v>1</v>
      </c>
      <c r="I22" s="15">
        <v>1</v>
      </c>
      <c r="J22" s="15">
        <v>3</v>
      </c>
      <c r="K22" s="15">
        <v>1</v>
      </c>
      <c r="L22" s="15">
        <v>1</v>
      </c>
      <c r="M22" s="11">
        <f>SUM(C22:G22)</f>
        <v>25</v>
      </c>
      <c r="N22" s="11">
        <f t="shared" si="1"/>
        <v>7</v>
      </c>
    </row>
    <row r="23" customFormat="1" spans="1:14">
      <c r="A23" s="4" t="s">
        <v>48</v>
      </c>
      <c r="B23" s="5" t="s">
        <v>49</v>
      </c>
      <c r="C23" s="15">
        <v>1</v>
      </c>
      <c r="D23" s="15">
        <v>2</v>
      </c>
      <c r="E23" s="15">
        <v>2</v>
      </c>
      <c r="F23" s="15">
        <v>1</v>
      </c>
      <c r="G23" s="15">
        <v>2</v>
      </c>
      <c r="H23" s="15">
        <v>2</v>
      </c>
      <c r="I23" s="15">
        <v>2</v>
      </c>
      <c r="J23" s="15">
        <v>5</v>
      </c>
      <c r="K23" s="15">
        <v>5</v>
      </c>
      <c r="L23" s="15">
        <v>4</v>
      </c>
      <c r="M23" s="11">
        <f>SUM(C23:G23)</f>
        <v>8</v>
      </c>
      <c r="N23" s="11">
        <f>SUM(H23:L23)</f>
        <v>18</v>
      </c>
    </row>
    <row r="24" customFormat="1" spans="1:14">
      <c r="A24" s="4" t="s">
        <v>50</v>
      </c>
      <c r="B24" s="5" t="s">
        <v>51</v>
      </c>
      <c r="C24" s="15">
        <v>4</v>
      </c>
      <c r="D24" s="15">
        <v>2</v>
      </c>
      <c r="E24" s="15">
        <v>5</v>
      </c>
      <c r="F24" s="15">
        <v>2</v>
      </c>
      <c r="G24" s="15">
        <v>5</v>
      </c>
      <c r="H24" s="15">
        <v>1</v>
      </c>
      <c r="I24" s="15">
        <v>4</v>
      </c>
      <c r="J24" s="15">
        <v>1</v>
      </c>
      <c r="K24" s="15">
        <v>4</v>
      </c>
      <c r="L24" s="15">
        <v>2</v>
      </c>
      <c r="M24" s="11">
        <f>SUM(C24:G24)</f>
        <v>18</v>
      </c>
      <c r="N24" s="11">
        <f>SUM(H24:L24)</f>
        <v>12</v>
      </c>
    </row>
    <row r="25" customFormat="1" spans="1:14">
      <c r="A25" s="4" t="s">
        <v>52</v>
      </c>
      <c r="B25" s="5" t="s">
        <v>53</v>
      </c>
      <c r="C25" s="15">
        <v>4</v>
      </c>
      <c r="D25" s="15">
        <v>2</v>
      </c>
      <c r="E25" s="15">
        <v>2</v>
      </c>
      <c r="F25" s="15">
        <v>1</v>
      </c>
      <c r="G25" s="15">
        <v>2</v>
      </c>
      <c r="H25" s="15">
        <v>2</v>
      </c>
      <c r="I25" s="15">
        <v>2</v>
      </c>
      <c r="J25" s="15">
        <v>5</v>
      </c>
      <c r="K25" s="15">
        <v>1</v>
      </c>
      <c r="L25" s="15">
        <v>1</v>
      </c>
      <c r="M25" s="11">
        <f>SUM(C25:G25)</f>
        <v>11</v>
      </c>
      <c r="N25" s="11">
        <f>SUM(H25:L25)</f>
        <v>11</v>
      </c>
    </row>
    <row r="26" customFormat="1" spans="1:14">
      <c r="A26" s="4" t="s">
        <v>54</v>
      </c>
      <c r="B26" s="5" t="s">
        <v>55</v>
      </c>
      <c r="C26" s="15">
        <v>4</v>
      </c>
      <c r="D26" s="15">
        <v>5</v>
      </c>
      <c r="E26" s="15">
        <v>5</v>
      </c>
      <c r="F26" s="15">
        <v>4</v>
      </c>
      <c r="G26" s="15">
        <v>5</v>
      </c>
      <c r="H26" s="15">
        <v>1</v>
      </c>
      <c r="I26" s="15">
        <v>3</v>
      </c>
      <c r="J26" s="15">
        <v>2</v>
      </c>
      <c r="K26" s="15">
        <v>3</v>
      </c>
      <c r="L26" s="15">
        <v>1</v>
      </c>
      <c r="M26" s="11">
        <f>SUM(C26:G26)</f>
        <v>23</v>
      </c>
      <c r="N26" s="11">
        <f>SUM(H26:L26)</f>
        <v>10</v>
      </c>
    </row>
    <row r="27" customFormat="1" spans="1:14">
      <c r="A27" s="4" t="s">
        <v>56</v>
      </c>
      <c r="B27" s="5" t="s">
        <v>57</v>
      </c>
      <c r="C27" s="15">
        <v>4</v>
      </c>
      <c r="D27" s="15">
        <v>4</v>
      </c>
      <c r="E27" s="15">
        <v>3</v>
      </c>
      <c r="F27" s="15">
        <v>2</v>
      </c>
      <c r="G27" s="15">
        <v>2</v>
      </c>
      <c r="H27" s="15">
        <v>2</v>
      </c>
      <c r="I27" s="15">
        <v>1</v>
      </c>
      <c r="J27" s="15">
        <v>3</v>
      </c>
      <c r="K27" s="15">
        <v>2</v>
      </c>
      <c r="L27" s="15">
        <v>2</v>
      </c>
      <c r="M27" s="11">
        <f>SUM(C27:G27)</f>
        <v>15</v>
      </c>
      <c r="N27" s="11">
        <f>SUM(H27:L27)</f>
        <v>10</v>
      </c>
    </row>
    <row r="28" customFormat="1" spans="1:14">
      <c r="A28" s="4" t="s">
        <v>58</v>
      </c>
      <c r="B28" s="5" t="s">
        <v>59</v>
      </c>
      <c r="C28" s="15">
        <v>5</v>
      </c>
      <c r="D28" s="15">
        <v>5</v>
      </c>
      <c r="E28" s="15">
        <v>5</v>
      </c>
      <c r="F28" s="15">
        <v>5</v>
      </c>
      <c r="G28" s="15">
        <v>5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1">
        <f>SUM(C28:G28)</f>
        <v>25</v>
      </c>
      <c r="N28" s="11">
        <f>SUM(H28:L28)</f>
        <v>5</v>
      </c>
    </row>
    <row r="29" customFormat="1" spans="1:14">
      <c r="A29" s="4" t="s">
        <v>60</v>
      </c>
      <c r="B29" s="5" t="s">
        <v>61</v>
      </c>
      <c r="C29" s="15">
        <v>4</v>
      </c>
      <c r="D29" s="15">
        <v>5</v>
      </c>
      <c r="E29" s="15">
        <v>4</v>
      </c>
      <c r="F29" s="15">
        <v>5</v>
      </c>
      <c r="G29" s="15">
        <v>4</v>
      </c>
      <c r="H29" s="15">
        <v>3</v>
      </c>
      <c r="I29" s="15">
        <v>2</v>
      </c>
      <c r="J29" s="15">
        <v>3</v>
      </c>
      <c r="K29" s="15">
        <v>4</v>
      </c>
      <c r="L29" s="15">
        <v>3</v>
      </c>
      <c r="M29" s="11">
        <f>SUM(C29:G29)</f>
        <v>22</v>
      </c>
      <c r="N29" s="11">
        <f>SUM(H29:L29)</f>
        <v>15</v>
      </c>
    </row>
    <row r="30" customFormat="1" spans="1:14">
      <c r="A30" s="4" t="s">
        <v>62</v>
      </c>
      <c r="B30" s="5" t="s">
        <v>63</v>
      </c>
      <c r="C30" s="15">
        <v>5</v>
      </c>
      <c r="D30" s="15">
        <v>4</v>
      </c>
      <c r="E30" s="15">
        <v>4</v>
      </c>
      <c r="F30" s="15">
        <v>5</v>
      </c>
      <c r="G30" s="15">
        <v>5</v>
      </c>
      <c r="H30" s="15">
        <v>1</v>
      </c>
      <c r="I30" s="15">
        <v>1</v>
      </c>
      <c r="J30" s="15">
        <v>2</v>
      </c>
      <c r="K30" s="15">
        <v>3</v>
      </c>
      <c r="L30" s="15">
        <v>1</v>
      </c>
      <c r="M30" s="11">
        <f>SUM(C30:G30)</f>
        <v>23</v>
      </c>
      <c r="N30" s="11">
        <f>SUM(H30:L30)</f>
        <v>8</v>
      </c>
    </row>
    <row r="31" customFormat="1" spans="1:14">
      <c r="A31" s="4" t="s">
        <v>64</v>
      </c>
      <c r="B31" s="5" t="s">
        <v>65</v>
      </c>
      <c r="C31" s="15">
        <v>5</v>
      </c>
      <c r="D31" s="15">
        <v>5</v>
      </c>
      <c r="E31" s="15">
        <v>5</v>
      </c>
      <c r="F31" s="15">
        <v>5</v>
      </c>
      <c r="G31" s="15">
        <v>5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1">
        <f>SUM(C31:G31)</f>
        <v>25</v>
      </c>
      <c r="N31" s="11">
        <f>SUM(H31:L31)</f>
        <v>5</v>
      </c>
    </row>
    <row r="32" customFormat="1" spans="1:14">
      <c r="A32" s="4" t="s">
        <v>66</v>
      </c>
      <c r="B32" s="5" t="s">
        <v>67</v>
      </c>
      <c r="C32" s="15">
        <v>5</v>
      </c>
      <c r="D32" s="15">
        <v>3</v>
      </c>
      <c r="E32" s="15">
        <v>3</v>
      </c>
      <c r="F32" s="15">
        <v>3</v>
      </c>
      <c r="G32" s="15">
        <v>3</v>
      </c>
      <c r="H32" s="15">
        <v>2</v>
      </c>
      <c r="I32" s="15">
        <v>3</v>
      </c>
      <c r="J32" s="15">
        <v>3</v>
      </c>
      <c r="K32" s="15">
        <v>3</v>
      </c>
      <c r="L32" s="15">
        <v>3</v>
      </c>
      <c r="M32" s="11">
        <f>SUM(C32:G32)</f>
        <v>17</v>
      </c>
      <c r="N32" s="11">
        <f>SUM(H32:L32)</f>
        <v>14</v>
      </c>
    </row>
    <row r="33" customFormat="1" spans="1:14">
      <c r="A33" s="4" t="s">
        <v>68</v>
      </c>
      <c r="B33" s="5" t="s">
        <v>69</v>
      </c>
      <c r="C33" s="15">
        <v>4</v>
      </c>
      <c r="D33" s="15">
        <v>5</v>
      </c>
      <c r="E33" s="15">
        <v>5</v>
      </c>
      <c r="F33" s="15">
        <v>5</v>
      </c>
      <c r="G33" s="15">
        <v>5</v>
      </c>
      <c r="H33" s="15">
        <v>1</v>
      </c>
      <c r="I33" s="15">
        <v>1</v>
      </c>
      <c r="J33" s="15">
        <v>3</v>
      </c>
      <c r="K33" s="15">
        <v>3</v>
      </c>
      <c r="L33" s="15">
        <v>2</v>
      </c>
      <c r="M33" s="11">
        <f>SUM(C33:G33)</f>
        <v>24</v>
      </c>
      <c r="N33" s="11">
        <f>SUM(H33:L33)</f>
        <v>10</v>
      </c>
    </row>
    <row r="34" customFormat="1" spans="1:14">
      <c r="A34" s="4" t="s">
        <v>70</v>
      </c>
      <c r="B34" s="5" t="s">
        <v>71</v>
      </c>
      <c r="C34" s="16">
        <v>3</v>
      </c>
      <c r="D34" s="16">
        <v>2</v>
      </c>
      <c r="E34" s="16">
        <v>2</v>
      </c>
      <c r="F34" s="16">
        <v>2</v>
      </c>
      <c r="G34" s="16">
        <v>4</v>
      </c>
      <c r="H34" s="16">
        <v>3</v>
      </c>
      <c r="I34" s="16">
        <v>3</v>
      </c>
      <c r="J34" s="16">
        <v>3</v>
      </c>
      <c r="K34" s="16">
        <v>4</v>
      </c>
      <c r="L34" s="16">
        <v>2</v>
      </c>
      <c r="M34" s="11">
        <f>SUM(C34:G34)</f>
        <v>13</v>
      </c>
      <c r="N34" s="11">
        <f>SUM(H34:L34)</f>
        <v>15</v>
      </c>
    </row>
  </sheetData>
  <mergeCells count="1">
    <mergeCell ref="A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topLeftCell="A10" workbookViewId="0">
      <selection activeCell="U37" sqref="U37"/>
    </sheetView>
  </sheetViews>
  <sheetFormatPr defaultColWidth="8.61261261261261" defaultRowHeight="14.1"/>
  <cols>
    <col min="3" max="20" width="7.95495495495495" hidden="1" customWidth="1"/>
    <col min="21" max="21" width="13.972972972973" customWidth="1"/>
    <col min="22" max="22" width="9.48648648648649" customWidth="1"/>
    <col min="23" max="24" width="13.972972972973" customWidth="1"/>
    <col min="25" max="25" width="12.8918918918919" customWidth="1"/>
  </cols>
  <sheetData>
    <row r="1" customFormat="1" spans="1:25">
      <c r="A1" s="1" t="s">
        <v>91</v>
      </c>
      <c r="B1" s="1" t="s">
        <v>2</v>
      </c>
      <c r="C1" s="2" t="s">
        <v>118</v>
      </c>
      <c r="D1" s="2" t="s">
        <v>119</v>
      </c>
      <c r="E1" s="2" t="s">
        <v>120</v>
      </c>
      <c r="F1" s="2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8" t="s">
        <v>127</v>
      </c>
      <c r="M1" s="2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9" t="s">
        <v>136</v>
      </c>
      <c r="V1" s="9" t="s">
        <v>137</v>
      </c>
      <c r="W1" s="9" t="s">
        <v>138</v>
      </c>
      <c r="X1" s="10" t="s">
        <v>139</v>
      </c>
      <c r="Y1" s="10" t="s">
        <v>140</v>
      </c>
    </row>
    <row r="2" customFormat="1" spans="1:25">
      <c r="A2" s="4" t="s">
        <v>8</v>
      </c>
      <c r="B2" s="5" t="s">
        <v>9</v>
      </c>
      <c r="C2" s="6">
        <v>4</v>
      </c>
      <c r="D2" s="6">
        <v>4</v>
      </c>
      <c r="E2" s="6">
        <v>4</v>
      </c>
      <c r="F2" s="6">
        <v>4</v>
      </c>
      <c r="G2" s="6">
        <v>4</v>
      </c>
      <c r="H2" s="6">
        <v>4</v>
      </c>
      <c r="I2" s="6">
        <v>3</v>
      </c>
      <c r="J2" s="6">
        <v>4</v>
      </c>
      <c r="K2" s="6">
        <v>3</v>
      </c>
      <c r="L2" s="6">
        <v>4</v>
      </c>
      <c r="M2" s="6">
        <v>2</v>
      </c>
      <c r="N2" s="6">
        <v>4</v>
      </c>
      <c r="O2" s="6">
        <v>4</v>
      </c>
      <c r="P2" s="6">
        <v>4</v>
      </c>
      <c r="Q2" s="6">
        <v>3</v>
      </c>
      <c r="R2" s="6">
        <v>4</v>
      </c>
      <c r="S2" s="6">
        <v>4</v>
      </c>
      <c r="T2" s="6">
        <v>4</v>
      </c>
      <c r="U2" s="6">
        <f>SUM(D2+F2+O2+S2)</f>
        <v>16</v>
      </c>
      <c r="V2" s="6">
        <f>SUM(C2+H2+J2+R2)</f>
        <v>16</v>
      </c>
      <c r="W2" s="6">
        <f>SUM(E2+I2+L2+M2+Q2)</f>
        <v>16</v>
      </c>
      <c r="X2" s="11">
        <f>SUM(U2:W2)</f>
        <v>48</v>
      </c>
      <c r="Y2" s="11">
        <f>SUM(G2+K2+N2+P2+T2)</f>
        <v>19</v>
      </c>
    </row>
    <row r="3" customFormat="1" spans="1:25">
      <c r="A3" s="4" t="s">
        <v>10</v>
      </c>
      <c r="B3" s="5" t="s">
        <v>11</v>
      </c>
      <c r="C3" s="6">
        <v>3</v>
      </c>
      <c r="D3" s="6">
        <v>4</v>
      </c>
      <c r="E3" s="6">
        <v>3</v>
      </c>
      <c r="F3" s="6">
        <v>4</v>
      </c>
      <c r="G3" s="6">
        <v>4</v>
      </c>
      <c r="H3" s="6">
        <v>3</v>
      </c>
      <c r="I3" s="6">
        <v>2</v>
      </c>
      <c r="J3" s="6">
        <v>3</v>
      </c>
      <c r="K3" s="6">
        <v>3</v>
      </c>
      <c r="L3" s="6">
        <v>3</v>
      </c>
      <c r="M3" s="6">
        <v>2</v>
      </c>
      <c r="N3" s="6">
        <v>3</v>
      </c>
      <c r="O3" s="6">
        <v>2</v>
      </c>
      <c r="P3" s="6">
        <v>3</v>
      </c>
      <c r="Q3" s="6">
        <v>2</v>
      </c>
      <c r="R3" s="6">
        <v>3</v>
      </c>
      <c r="S3" s="6">
        <v>4</v>
      </c>
      <c r="T3" s="6">
        <v>4</v>
      </c>
      <c r="U3" s="6">
        <f t="shared" ref="U3:U13" si="0">SUM(D3+F3+O3+S3)</f>
        <v>14</v>
      </c>
      <c r="V3" s="6">
        <f t="shared" ref="V3:V12" si="1">SUM(C3+H3+J3+R3)</f>
        <v>12</v>
      </c>
      <c r="W3" s="6">
        <f t="shared" ref="W3:W12" si="2">SUM(E3+I3+L3+M3+Q3)</f>
        <v>12</v>
      </c>
      <c r="X3" s="11">
        <f t="shared" ref="X3:X17" si="3">SUM(U3:W3)</f>
        <v>38</v>
      </c>
      <c r="Y3" s="11">
        <f t="shared" ref="Y3:Y12" si="4">SUM(G3+K3+N3+P3+T3)</f>
        <v>17</v>
      </c>
    </row>
    <row r="4" customFormat="1" spans="1:25">
      <c r="A4" s="4" t="s">
        <v>12</v>
      </c>
      <c r="B4" s="5" t="s">
        <v>13</v>
      </c>
      <c r="C4" s="6">
        <v>4</v>
      </c>
      <c r="D4" s="6">
        <v>4</v>
      </c>
      <c r="E4" s="6">
        <v>3</v>
      </c>
      <c r="F4" s="6">
        <v>4</v>
      </c>
      <c r="G4" s="6">
        <v>3</v>
      </c>
      <c r="H4" s="6">
        <v>2</v>
      </c>
      <c r="I4" s="6">
        <v>2</v>
      </c>
      <c r="J4" s="6">
        <v>3</v>
      </c>
      <c r="K4" s="6">
        <v>3</v>
      </c>
      <c r="L4" s="6">
        <v>3</v>
      </c>
      <c r="M4" s="6">
        <v>2</v>
      </c>
      <c r="N4" s="6">
        <v>2</v>
      </c>
      <c r="O4" s="6">
        <v>3</v>
      </c>
      <c r="P4" s="6">
        <v>3</v>
      </c>
      <c r="Q4" s="6">
        <v>3</v>
      </c>
      <c r="R4" s="6">
        <v>3</v>
      </c>
      <c r="S4" s="6">
        <v>4</v>
      </c>
      <c r="T4" s="6">
        <v>3</v>
      </c>
      <c r="U4" s="6">
        <f t="shared" si="0"/>
        <v>15</v>
      </c>
      <c r="V4" s="6">
        <f t="shared" si="1"/>
        <v>12</v>
      </c>
      <c r="W4" s="6">
        <f t="shared" si="2"/>
        <v>13</v>
      </c>
      <c r="X4" s="11">
        <f t="shared" si="3"/>
        <v>40</v>
      </c>
      <c r="Y4" s="11">
        <f t="shared" si="4"/>
        <v>14</v>
      </c>
    </row>
    <row r="5" customFormat="1" spans="1:25">
      <c r="A5" s="4" t="s">
        <v>14</v>
      </c>
      <c r="B5" s="5" t="s">
        <v>15</v>
      </c>
      <c r="C5" s="6">
        <v>4</v>
      </c>
      <c r="D5" s="6">
        <v>4</v>
      </c>
      <c r="E5" s="6">
        <v>4</v>
      </c>
      <c r="F5" s="6">
        <v>4</v>
      </c>
      <c r="G5" s="6">
        <v>3</v>
      </c>
      <c r="H5" s="6">
        <v>3</v>
      </c>
      <c r="I5" s="6">
        <v>4</v>
      </c>
      <c r="J5" s="6">
        <v>3</v>
      </c>
      <c r="K5" s="6">
        <v>4</v>
      </c>
      <c r="L5" s="6">
        <v>4</v>
      </c>
      <c r="M5" s="6">
        <v>3</v>
      </c>
      <c r="N5" s="6">
        <v>3</v>
      </c>
      <c r="O5" s="6">
        <v>4</v>
      </c>
      <c r="P5" s="6">
        <v>4</v>
      </c>
      <c r="Q5" s="6">
        <v>3</v>
      </c>
      <c r="R5" s="6">
        <v>4</v>
      </c>
      <c r="S5" s="6">
        <v>4</v>
      </c>
      <c r="T5" s="6">
        <v>4</v>
      </c>
      <c r="U5" s="6">
        <f t="shared" si="0"/>
        <v>16</v>
      </c>
      <c r="V5" s="6">
        <f t="shared" si="1"/>
        <v>14</v>
      </c>
      <c r="W5" s="6">
        <f t="shared" si="2"/>
        <v>18</v>
      </c>
      <c r="X5" s="11">
        <f t="shared" si="3"/>
        <v>48</v>
      </c>
      <c r="Y5" s="11">
        <f t="shared" si="4"/>
        <v>18</v>
      </c>
    </row>
    <row r="6" customFormat="1" spans="1:25">
      <c r="A6" s="4" t="s">
        <v>16</v>
      </c>
      <c r="B6" s="5" t="s">
        <v>17</v>
      </c>
      <c r="C6" s="6">
        <v>4</v>
      </c>
      <c r="D6" s="6">
        <v>4</v>
      </c>
      <c r="E6" s="6">
        <v>3</v>
      </c>
      <c r="F6" s="6">
        <v>3</v>
      </c>
      <c r="G6" s="6">
        <v>4</v>
      </c>
      <c r="H6" s="6">
        <v>4</v>
      </c>
      <c r="I6" s="6">
        <v>2</v>
      </c>
      <c r="J6" s="6">
        <v>3</v>
      </c>
      <c r="K6" s="6">
        <v>2</v>
      </c>
      <c r="L6" s="6">
        <v>4</v>
      </c>
      <c r="M6" s="6">
        <v>3</v>
      </c>
      <c r="N6" s="6">
        <v>3</v>
      </c>
      <c r="O6" s="6">
        <v>3</v>
      </c>
      <c r="P6" s="6">
        <v>3</v>
      </c>
      <c r="Q6" s="6">
        <v>3</v>
      </c>
      <c r="R6" s="6">
        <v>3</v>
      </c>
      <c r="S6" s="6">
        <v>4</v>
      </c>
      <c r="T6" s="6">
        <v>3</v>
      </c>
      <c r="U6" s="6">
        <f t="shared" si="0"/>
        <v>14</v>
      </c>
      <c r="V6" s="6">
        <f t="shared" si="1"/>
        <v>14</v>
      </c>
      <c r="W6" s="6">
        <f t="shared" si="2"/>
        <v>15</v>
      </c>
      <c r="X6" s="11">
        <f t="shared" si="3"/>
        <v>43</v>
      </c>
      <c r="Y6" s="11">
        <f t="shared" si="4"/>
        <v>15</v>
      </c>
    </row>
    <row r="7" customFormat="1" spans="1:25">
      <c r="A7" s="4" t="s">
        <v>18</v>
      </c>
      <c r="B7" s="5" t="s">
        <v>19</v>
      </c>
      <c r="C7" s="6">
        <v>3</v>
      </c>
      <c r="D7" s="6">
        <v>4</v>
      </c>
      <c r="E7" s="6">
        <v>3</v>
      </c>
      <c r="F7" s="6">
        <v>4</v>
      </c>
      <c r="G7" s="6">
        <v>3</v>
      </c>
      <c r="H7" s="6">
        <v>3</v>
      </c>
      <c r="I7" s="6">
        <v>3</v>
      </c>
      <c r="J7" s="6">
        <v>4</v>
      </c>
      <c r="K7" s="6">
        <v>3</v>
      </c>
      <c r="L7" s="6">
        <v>3</v>
      </c>
      <c r="M7" s="6">
        <v>3</v>
      </c>
      <c r="N7" s="6">
        <v>2</v>
      </c>
      <c r="O7" s="6">
        <v>3</v>
      </c>
      <c r="P7" s="6">
        <v>3</v>
      </c>
      <c r="Q7" s="6">
        <v>4</v>
      </c>
      <c r="R7" s="6">
        <v>3</v>
      </c>
      <c r="S7" s="6">
        <v>4</v>
      </c>
      <c r="T7" s="6">
        <v>3</v>
      </c>
      <c r="U7" s="6">
        <f t="shared" si="0"/>
        <v>15</v>
      </c>
      <c r="V7" s="6">
        <f t="shared" si="1"/>
        <v>13</v>
      </c>
      <c r="W7" s="6">
        <f t="shared" si="2"/>
        <v>16</v>
      </c>
      <c r="X7" s="11">
        <f t="shared" si="3"/>
        <v>44</v>
      </c>
      <c r="Y7" s="11">
        <f t="shared" si="4"/>
        <v>14</v>
      </c>
    </row>
    <row r="8" customFormat="1" spans="1:25">
      <c r="A8" s="4" t="s">
        <v>20</v>
      </c>
      <c r="B8" s="5" t="s">
        <v>21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3</v>
      </c>
      <c r="I8" s="6">
        <v>2</v>
      </c>
      <c r="J8" s="6">
        <v>4</v>
      </c>
      <c r="K8" s="6">
        <v>4</v>
      </c>
      <c r="L8" s="6">
        <v>3</v>
      </c>
      <c r="M8" s="6">
        <v>3</v>
      </c>
      <c r="N8" s="6">
        <v>3</v>
      </c>
      <c r="O8" s="6">
        <v>3</v>
      </c>
      <c r="P8" s="6">
        <v>4</v>
      </c>
      <c r="Q8" s="6">
        <v>3</v>
      </c>
      <c r="R8" s="6">
        <v>3</v>
      </c>
      <c r="S8" s="6">
        <v>4</v>
      </c>
      <c r="T8" s="6">
        <v>3</v>
      </c>
      <c r="U8" s="6">
        <f t="shared" si="0"/>
        <v>15</v>
      </c>
      <c r="V8" s="6">
        <f t="shared" si="1"/>
        <v>14</v>
      </c>
      <c r="W8" s="6">
        <f t="shared" si="2"/>
        <v>15</v>
      </c>
      <c r="X8" s="11">
        <f t="shared" si="3"/>
        <v>44</v>
      </c>
      <c r="Y8" s="11">
        <f t="shared" si="4"/>
        <v>18</v>
      </c>
    </row>
    <row r="9" customFormat="1" spans="1:25">
      <c r="A9" s="4" t="s">
        <v>22</v>
      </c>
      <c r="B9" s="5" t="s">
        <v>23</v>
      </c>
      <c r="C9" s="6">
        <v>3</v>
      </c>
      <c r="D9" s="6">
        <v>3</v>
      </c>
      <c r="E9" s="6">
        <v>4</v>
      </c>
      <c r="F9" s="6">
        <v>3</v>
      </c>
      <c r="G9" s="6">
        <v>3</v>
      </c>
      <c r="H9" s="6">
        <v>4</v>
      </c>
      <c r="I9" s="6">
        <v>3</v>
      </c>
      <c r="J9" s="6">
        <v>4</v>
      </c>
      <c r="K9" s="6">
        <v>3</v>
      </c>
      <c r="L9" s="6">
        <v>4</v>
      </c>
      <c r="M9" s="6">
        <v>2</v>
      </c>
      <c r="N9" s="6">
        <v>1</v>
      </c>
      <c r="O9" s="6">
        <v>2</v>
      </c>
      <c r="P9" s="6">
        <v>4</v>
      </c>
      <c r="Q9" s="6">
        <v>2</v>
      </c>
      <c r="R9" s="6">
        <v>3</v>
      </c>
      <c r="S9" s="6">
        <v>4</v>
      </c>
      <c r="T9" s="6">
        <v>3</v>
      </c>
      <c r="U9" s="6">
        <f t="shared" si="0"/>
        <v>12</v>
      </c>
      <c r="V9" s="6">
        <f t="shared" si="1"/>
        <v>14</v>
      </c>
      <c r="W9" s="6">
        <f t="shared" si="2"/>
        <v>15</v>
      </c>
      <c r="X9" s="11">
        <f t="shared" si="3"/>
        <v>41</v>
      </c>
      <c r="Y9" s="11">
        <f t="shared" si="4"/>
        <v>14</v>
      </c>
    </row>
    <row r="10" customFormat="1" spans="1:25">
      <c r="A10" s="4" t="s">
        <v>24</v>
      </c>
      <c r="B10" s="5" t="s">
        <v>25</v>
      </c>
      <c r="C10" s="6">
        <v>3</v>
      </c>
      <c r="D10" s="6">
        <v>4</v>
      </c>
      <c r="E10" s="6">
        <v>3</v>
      </c>
      <c r="F10" s="6">
        <v>3</v>
      </c>
      <c r="G10" s="6">
        <v>4</v>
      </c>
      <c r="H10" s="6">
        <v>4</v>
      </c>
      <c r="I10" s="6">
        <v>2</v>
      </c>
      <c r="J10" s="6">
        <v>3</v>
      </c>
      <c r="K10" s="6">
        <v>3</v>
      </c>
      <c r="L10" s="6">
        <v>4</v>
      </c>
      <c r="M10" s="6">
        <v>3</v>
      </c>
      <c r="N10" s="6">
        <v>3</v>
      </c>
      <c r="O10" s="6">
        <v>4</v>
      </c>
      <c r="P10" s="6">
        <v>4</v>
      </c>
      <c r="Q10" s="6">
        <v>3</v>
      </c>
      <c r="R10" s="6">
        <v>3</v>
      </c>
      <c r="S10" s="6">
        <v>4</v>
      </c>
      <c r="T10" s="6">
        <v>4</v>
      </c>
      <c r="U10" s="6">
        <f t="shared" si="0"/>
        <v>15</v>
      </c>
      <c r="V10" s="6">
        <f t="shared" si="1"/>
        <v>13</v>
      </c>
      <c r="W10" s="6">
        <f t="shared" si="2"/>
        <v>15</v>
      </c>
      <c r="X10" s="11">
        <f t="shared" si="3"/>
        <v>43</v>
      </c>
      <c r="Y10" s="11">
        <f t="shared" si="4"/>
        <v>18</v>
      </c>
    </row>
    <row r="11" customFormat="1" spans="1:25">
      <c r="A11" s="4" t="s">
        <v>26</v>
      </c>
      <c r="B11" s="5" t="s">
        <v>27</v>
      </c>
      <c r="C11" s="6">
        <v>3</v>
      </c>
      <c r="D11" s="6">
        <v>2</v>
      </c>
      <c r="E11" s="6">
        <v>3</v>
      </c>
      <c r="F11" s="6">
        <v>3</v>
      </c>
      <c r="G11" s="6">
        <v>4</v>
      </c>
      <c r="H11" s="6">
        <v>3</v>
      </c>
      <c r="I11" s="6">
        <v>3</v>
      </c>
      <c r="J11" s="6">
        <v>3</v>
      </c>
      <c r="K11" s="6">
        <v>4</v>
      </c>
      <c r="L11" s="6">
        <v>3</v>
      </c>
      <c r="M11" s="6">
        <v>3</v>
      </c>
      <c r="N11" s="6">
        <v>3</v>
      </c>
      <c r="O11" s="6">
        <v>3</v>
      </c>
      <c r="P11" s="6">
        <v>3</v>
      </c>
      <c r="Q11" s="6">
        <v>2</v>
      </c>
      <c r="R11" s="6">
        <v>3</v>
      </c>
      <c r="S11" s="6">
        <v>4</v>
      </c>
      <c r="T11" s="6">
        <v>4</v>
      </c>
      <c r="U11" s="6">
        <f t="shared" si="0"/>
        <v>12</v>
      </c>
      <c r="V11" s="6">
        <f t="shared" si="1"/>
        <v>12</v>
      </c>
      <c r="W11" s="6">
        <f t="shared" si="2"/>
        <v>14</v>
      </c>
      <c r="X11" s="11">
        <f t="shared" si="3"/>
        <v>38</v>
      </c>
      <c r="Y11" s="11">
        <f t="shared" si="4"/>
        <v>18</v>
      </c>
    </row>
    <row r="12" customFormat="1" spans="1:25">
      <c r="A12" s="4" t="s">
        <v>28</v>
      </c>
      <c r="B12" s="5" t="s">
        <v>29</v>
      </c>
      <c r="C12" s="6">
        <v>3</v>
      </c>
      <c r="D12" s="6">
        <v>4</v>
      </c>
      <c r="E12" s="6">
        <v>4</v>
      </c>
      <c r="F12" s="6">
        <v>4</v>
      </c>
      <c r="G12" s="6">
        <v>3</v>
      </c>
      <c r="H12" s="6">
        <v>2</v>
      </c>
      <c r="I12" s="6">
        <v>4</v>
      </c>
      <c r="J12" s="6">
        <v>4</v>
      </c>
      <c r="K12" s="6">
        <v>3</v>
      </c>
      <c r="L12" s="6">
        <v>4</v>
      </c>
      <c r="M12" s="6">
        <v>3</v>
      </c>
      <c r="N12" s="6">
        <v>3</v>
      </c>
      <c r="O12" s="6">
        <v>3</v>
      </c>
      <c r="P12" s="6">
        <v>3</v>
      </c>
      <c r="Q12" s="6">
        <v>3</v>
      </c>
      <c r="R12" s="6">
        <v>3</v>
      </c>
      <c r="S12" s="6">
        <v>3</v>
      </c>
      <c r="T12" s="6">
        <v>4</v>
      </c>
      <c r="U12" s="6">
        <f t="shared" si="0"/>
        <v>14</v>
      </c>
      <c r="V12" s="6">
        <f t="shared" si="1"/>
        <v>12</v>
      </c>
      <c r="W12" s="6">
        <f t="shared" si="2"/>
        <v>18</v>
      </c>
      <c r="X12" s="11">
        <f t="shared" si="3"/>
        <v>44</v>
      </c>
      <c r="Y12" s="11">
        <f t="shared" si="4"/>
        <v>16</v>
      </c>
    </row>
    <row r="13" customFormat="1" spans="1:25">
      <c r="A13" s="4" t="s">
        <v>30</v>
      </c>
      <c r="B13" s="5" t="s">
        <v>31</v>
      </c>
      <c r="C13" s="6">
        <v>4</v>
      </c>
      <c r="D13" s="6">
        <v>4</v>
      </c>
      <c r="E13" s="6">
        <v>3</v>
      </c>
      <c r="F13" s="6">
        <v>3</v>
      </c>
      <c r="G13" s="6">
        <v>1</v>
      </c>
      <c r="H13" s="6">
        <v>3</v>
      </c>
      <c r="I13" s="6">
        <v>3</v>
      </c>
      <c r="J13" s="6">
        <v>4</v>
      </c>
      <c r="K13" s="6">
        <v>3</v>
      </c>
      <c r="L13" s="6">
        <v>1</v>
      </c>
      <c r="M13" s="6">
        <v>1</v>
      </c>
      <c r="N13" s="6">
        <v>3</v>
      </c>
      <c r="O13" s="6">
        <v>3</v>
      </c>
      <c r="P13" s="6">
        <v>4</v>
      </c>
      <c r="Q13" s="6">
        <v>4</v>
      </c>
      <c r="R13" s="6">
        <v>4</v>
      </c>
      <c r="S13" s="6">
        <v>2</v>
      </c>
      <c r="T13" s="6">
        <v>4</v>
      </c>
      <c r="U13" s="6">
        <f>SUM(D13+F13+O13+S13)</f>
        <v>12</v>
      </c>
      <c r="V13" s="6">
        <f>SUM(C13+H13+J13+R13)</f>
        <v>15</v>
      </c>
      <c r="W13" s="6">
        <f>SUM(E13+I13+L13+M13+Q13)</f>
        <v>12</v>
      </c>
      <c r="X13" s="11">
        <f>SUM(U13:W13)</f>
        <v>39</v>
      </c>
      <c r="Y13" s="11">
        <f>SUM(G13+K13+N13+P13+T13)</f>
        <v>15</v>
      </c>
    </row>
    <row r="14" customFormat="1" spans="1:25">
      <c r="A14" s="4" t="s">
        <v>32</v>
      </c>
      <c r="B14" s="5" t="s">
        <v>33</v>
      </c>
      <c r="C14" s="6">
        <v>2</v>
      </c>
      <c r="D14" s="6">
        <v>4</v>
      </c>
      <c r="E14" s="6">
        <v>3</v>
      </c>
      <c r="F14" s="6">
        <v>4</v>
      </c>
      <c r="G14" s="6">
        <v>3</v>
      </c>
      <c r="H14" s="6">
        <v>3</v>
      </c>
      <c r="I14" s="6">
        <v>3</v>
      </c>
      <c r="J14" s="6">
        <v>4</v>
      </c>
      <c r="K14" s="6">
        <v>4</v>
      </c>
      <c r="L14" s="6">
        <v>3</v>
      </c>
      <c r="M14" s="6">
        <v>4</v>
      </c>
      <c r="N14" s="6">
        <v>3</v>
      </c>
      <c r="O14" s="6">
        <v>4</v>
      </c>
      <c r="P14" s="6">
        <v>3</v>
      </c>
      <c r="Q14" s="6">
        <v>3</v>
      </c>
      <c r="R14" s="6">
        <v>4</v>
      </c>
      <c r="S14" s="6">
        <v>4</v>
      </c>
      <c r="T14" s="6">
        <v>4</v>
      </c>
      <c r="U14" s="6">
        <f>SUM(D14+F14+O14+S14)</f>
        <v>16</v>
      </c>
      <c r="V14" s="6">
        <f>SUM(C14+H14+J14+R14)</f>
        <v>13</v>
      </c>
      <c r="W14" s="6">
        <f>SUM(E14+I14+L14+M14+Q14)</f>
        <v>16</v>
      </c>
      <c r="X14" s="11">
        <f t="shared" si="3"/>
        <v>45</v>
      </c>
      <c r="Y14" s="11">
        <f t="shared" ref="Y13:Y25" si="5">SUM(G14+K14+N14+P14+T14)</f>
        <v>17</v>
      </c>
    </row>
    <row r="15" customFormat="1" spans="1:25">
      <c r="A15" s="4" t="s">
        <v>34</v>
      </c>
      <c r="B15" s="5" t="s">
        <v>35</v>
      </c>
      <c r="C15" s="6">
        <v>3</v>
      </c>
      <c r="D15" s="6">
        <v>3</v>
      </c>
      <c r="E15" s="6">
        <v>4</v>
      </c>
      <c r="F15" s="6">
        <v>4</v>
      </c>
      <c r="G15" s="6">
        <v>4</v>
      </c>
      <c r="H15" s="6">
        <v>3</v>
      </c>
      <c r="I15" s="6">
        <v>3</v>
      </c>
      <c r="J15" s="6">
        <v>3</v>
      </c>
      <c r="K15" s="6">
        <v>3</v>
      </c>
      <c r="L15" s="6">
        <v>3</v>
      </c>
      <c r="M15" s="6">
        <v>3</v>
      </c>
      <c r="N15" s="6">
        <v>4</v>
      </c>
      <c r="O15" s="6">
        <v>4</v>
      </c>
      <c r="P15" s="6">
        <v>4</v>
      </c>
      <c r="Q15" s="6">
        <v>3</v>
      </c>
      <c r="R15" s="6">
        <v>3</v>
      </c>
      <c r="S15" s="6">
        <v>3</v>
      </c>
      <c r="T15" s="6">
        <v>4</v>
      </c>
      <c r="U15" s="6">
        <f>SUM(D15+F15+O15+S15)</f>
        <v>14</v>
      </c>
      <c r="V15" s="6">
        <f>SUM(C15+H15+J15+R15)</f>
        <v>12</v>
      </c>
      <c r="W15" s="6">
        <f>SUM(E15+I15+L15+M15+Q15)</f>
        <v>16</v>
      </c>
      <c r="X15" s="11">
        <f t="shared" si="3"/>
        <v>42</v>
      </c>
      <c r="Y15" s="11">
        <f t="shared" si="5"/>
        <v>19</v>
      </c>
    </row>
    <row r="16" customFormat="1" spans="1:25">
      <c r="A16" s="4" t="s">
        <v>36</v>
      </c>
      <c r="B16" s="5" t="s">
        <v>37</v>
      </c>
      <c r="C16" s="6">
        <v>3</v>
      </c>
      <c r="D16" s="6">
        <v>4</v>
      </c>
      <c r="E16" s="6">
        <v>4</v>
      </c>
      <c r="F16" s="6">
        <v>3</v>
      </c>
      <c r="G16" s="6">
        <v>3</v>
      </c>
      <c r="H16" s="6">
        <v>3</v>
      </c>
      <c r="I16" s="6">
        <v>3</v>
      </c>
      <c r="J16" s="6">
        <v>3</v>
      </c>
      <c r="K16" s="6">
        <v>2</v>
      </c>
      <c r="L16" s="6">
        <v>3</v>
      </c>
      <c r="M16" s="6">
        <v>1</v>
      </c>
      <c r="N16" s="6">
        <v>1</v>
      </c>
      <c r="O16" s="6">
        <v>3</v>
      </c>
      <c r="P16" s="6">
        <v>2</v>
      </c>
      <c r="Q16" s="6">
        <v>2</v>
      </c>
      <c r="R16" s="6">
        <v>2</v>
      </c>
      <c r="S16" s="6">
        <v>3</v>
      </c>
      <c r="T16" s="6">
        <v>3</v>
      </c>
      <c r="U16" s="6">
        <f>SUM(D16+F16+O16+S16)</f>
        <v>13</v>
      </c>
      <c r="V16" s="6">
        <f>SUM(C16+H16+J16+R16)</f>
        <v>11</v>
      </c>
      <c r="W16" s="6">
        <f>SUM(E16+I16+L16+M16+Q16)</f>
        <v>13</v>
      </c>
      <c r="X16" s="11">
        <f t="shared" si="3"/>
        <v>37</v>
      </c>
      <c r="Y16" s="11">
        <f t="shared" si="5"/>
        <v>11</v>
      </c>
    </row>
    <row r="17" customFormat="1" spans="1:25">
      <c r="A17" s="4" t="s">
        <v>38</v>
      </c>
      <c r="B17" s="5" t="s">
        <v>39</v>
      </c>
      <c r="C17" s="6">
        <v>3</v>
      </c>
      <c r="D17" s="6">
        <v>3</v>
      </c>
      <c r="E17" s="6">
        <v>3</v>
      </c>
      <c r="F17" s="6">
        <v>4</v>
      </c>
      <c r="G17" s="6">
        <v>3</v>
      </c>
      <c r="H17" s="6">
        <v>3</v>
      </c>
      <c r="I17" s="6">
        <v>2</v>
      </c>
      <c r="J17" s="6">
        <v>3</v>
      </c>
      <c r="K17" s="6">
        <v>3</v>
      </c>
      <c r="L17" s="6">
        <v>4</v>
      </c>
      <c r="M17" s="6">
        <v>3</v>
      </c>
      <c r="N17" s="6">
        <v>3</v>
      </c>
      <c r="O17" s="6">
        <v>3</v>
      </c>
      <c r="P17" s="6">
        <v>3</v>
      </c>
      <c r="Q17" s="6">
        <v>2</v>
      </c>
      <c r="R17" s="6">
        <v>3</v>
      </c>
      <c r="S17" s="6">
        <v>4</v>
      </c>
      <c r="T17" s="6">
        <v>3</v>
      </c>
      <c r="U17" s="6">
        <f t="shared" ref="U17:U22" si="6">SUM(D17+F17+O17+S17)</f>
        <v>14</v>
      </c>
      <c r="V17" s="6">
        <f t="shared" ref="V17:V22" si="7">SUM(C17+H17+J17+R17)</f>
        <v>12</v>
      </c>
      <c r="W17" s="6">
        <f t="shared" ref="W17:W22" si="8">SUM(E17+I17+L17+M17+Q17)</f>
        <v>14</v>
      </c>
      <c r="X17" s="11">
        <f t="shared" si="3"/>
        <v>40</v>
      </c>
      <c r="Y17" s="11">
        <f t="shared" si="5"/>
        <v>15</v>
      </c>
    </row>
    <row r="18" customFormat="1" spans="1:25">
      <c r="A18" s="4" t="s">
        <v>40</v>
      </c>
      <c r="B18" s="5" t="s">
        <v>41</v>
      </c>
      <c r="C18" s="6">
        <v>3</v>
      </c>
      <c r="D18" s="6">
        <v>4</v>
      </c>
      <c r="E18" s="6">
        <v>3</v>
      </c>
      <c r="F18" s="6">
        <v>4</v>
      </c>
      <c r="G18" s="6">
        <v>4</v>
      </c>
      <c r="H18" s="6">
        <v>3</v>
      </c>
      <c r="I18" s="6">
        <v>3</v>
      </c>
      <c r="J18" s="6">
        <v>3</v>
      </c>
      <c r="K18" s="6">
        <v>4</v>
      </c>
      <c r="L18" s="6">
        <v>3</v>
      </c>
      <c r="M18" s="6">
        <v>4</v>
      </c>
      <c r="N18" s="6">
        <v>4</v>
      </c>
      <c r="O18" s="6">
        <v>4</v>
      </c>
      <c r="P18" s="6">
        <v>4</v>
      </c>
      <c r="Q18" s="6">
        <v>3</v>
      </c>
      <c r="R18" s="6">
        <v>2</v>
      </c>
      <c r="S18" s="6">
        <v>4</v>
      </c>
      <c r="T18" s="6">
        <v>4</v>
      </c>
      <c r="U18" s="6">
        <f t="shared" si="6"/>
        <v>16</v>
      </c>
      <c r="V18" s="6">
        <f t="shared" si="7"/>
        <v>11</v>
      </c>
      <c r="W18" s="6">
        <f t="shared" si="8"/>
        <v>16</v>
      </c>
      <c r="X18" s="11">
        <f t="shared" ref="X18:X22" si="9">SUM(U18:W18)</f>
        <v>43</v>
      </c>
      <c r="Y18" s="11">
        <f t="shared" si="5"/>
        <v>20</v>
      </c>
    </row>
    <row r="19" customFormat="1" spans="1:25">
      <c r="A19" s="4" t="s">
        <v>42</v>
      </c>
      <c r="B19" s="5" t="s">
        <v>43</v>
      </c>
      <c r="C19" s="6">
        <v>3</v>
      </c>
      <c r="D19" s="6">
        <v>4</v>
      </c>
      <c r="E19" s="6">
        <v>3</v>
      </c>
      <c r="F19" s="6">
        <v>3</v>
      </c>
      <c r="G19" s="6">
        <v>4</v>
      </c>
      <c r="H19" s="6">
        <v>3</v>
      </c>
      <c r="I19" s="6">
        <v>2</v>
      </c>
      <c r="J19" s="6">
        <v>2</v>
      </c>
      <c r="K19" s="6">
        <v>4</v>
      </c>
      <c r="L19" s="6">
        <v>4</v>
      </c>
      <c r="M19" s="6">
        <v>2</v>
      </c>
      <c r="N19" s="6">
        <v>4</v>
      </c>
      <c r="O19" s="6">
        <v>3</v>
      </c>
      <c r="P19" s="6">
        <v>4</v>
      </c>
      <c r="Q19" s="6">
        <v>3</v>
      </c>
      <c r="R19" s="6">
        <v>3</v>
      </c>
      <c r="S19" s="6">
        <v>4</v>
      </c>
      <c r="T19" s="6">
        <v>4</v>
      </c>
      <c r="U19" s="6">
        <f t="shared" si="6"/>
        <v>14</v>
      </c>
      <c r="V19" s="6">
        <f t="shared" si="7"/>
        <v>11</v>
      </c>
      <c r="W19" s="6">
        <f t="shared" si="8"/>
        <v>14</v>
      </c>
      <c r="X19" s="11">
        <f t="shared" si="9"/>
        <v>39</v>
      </c>
      <c r="Y19" s="11">
        <f t="shared" si="5"/>
        <v>20</v>
      </c>
    </row>
    <row r="20" customFormat="1" spans="1:25">
      <c r="A20" s="4" t="s">
        <v>44</v>
      </c>
      <c r="B20" s="5" t="s">
        <v>45</v>
      </c>
      <c r="C20" s="6">
        <v>3</v>
      </c>
      <c r="D20" s="6">
        <v>4</v>
      </c>
      <c r="E20" s="6">
        <v>3</v>
      </c>
      <c r="F20" s="6">
        <v>3</v>
      </c>
      <c r="G20" s="6">
        <v>4</v>
      </c>
      <c r="H20" s="6">
        <v>3</v>
      </c>
      <c r="I20" s="6">
        <v>2</v>
      </c>
      <c r="J20" s="6">
        <v>3</v>
      </c>
      <c r="K20" s="6">
        <v>4</v>
      </c>
      <c r="L20" s="6">
        <v>3</v>
      </c>
      <c r="M20" s="6">
        <v>1</v>
      </c>
      <c r="N20" s="6">
        <v>4</v>
      </c>
      <c r="O20" s="6">
        <v>3</v>
      </c>
      <c r="P20" s="6">
        <v>4</v>
      </c>
      <c r="Q20" s="6">
        <v>2</v>
      </c>
      <c r="R20" s="6">
        <v>3</v>
      </c>
      <c r="S20" s="6">
        <v>4</v>
      </c>
      <c r="T20" s="6">
        <v>4</v>
      </c>
      <c r="U20" s="6">
        <f t="shared" si="6"/>
        <v>14</v>
      </c>
      <c r="V20" s="6">
        <f t="shared" si="7"/>
        <v>12</v>
      </c>
      <c r="W20" s="6">
        <f t="shared" si="8"/>
        <v>11</v>
      </c>
      <c r="X20" s="11">
        <f t="shared" si="9"/>
        <v>37</v>
      </c>
      <c r="Y20" s="11">
        <f t="shared" si="5"/>
        <v>20</v>
      </c>
    </row>
    <row r="21" customFormat="1" spans="1:25">
      <c r="A21" s="4" t="s">
        <v>46</v>
      </c>
      <c r="B21" s="5" t="s">
        <v>47</v>
      </c>
      <c r="C21" s="6">
        <v>4</v>
      </c>
      <c r="D21" s="6">
        <v>4</v>
      </c>
      <c r="E21" s="6">
        <v>4</v>
      </c>
      <c r="F21" s="6">
        <v>4</v>
      </c>
      <c r="G21" s="6">
        <v>4</v>
      </c>
      <c r="H21" s="6">
        <v>3</v>
      </c>
      <c r="I21" s="6">
        <v>4</v>
      </c>
      <c r="J21" s="6">
        <v>3</v>
      </c>
      <c r="K21" s="6">
        <v>4</v>
      </c>
      <c r="L21" s="6">
        <v>4</v>
      </c>
      <c r="M21" s="6">
        <v>3</v>
      </c>
      <c r="N21" s="6">
        <v>4</v>
      </c>
      <c r="O21" s="6">
        <v>4</v>
      </c>
      <c r="P21" s="6">
        <v>4</v>
      </c>
      <c r="Q21" s="6">
        <v>3</v>
      </c>
      <c r="R21" s="6">
        <v>3</v>
      </c>
      <c r="S21" s="6">
        <v>4</v>
      </c>
      <c r="T21" s="6">
        <v>4</v>
      </c>
      <c r="U21" s="6">
        <f t="shared" si="6"/>
        <v>16</v>
      </c>
      <c r="V21" s="6">
        <f t="shared" si="7"/>
        <v>13</v>
      </c>
      <c r="W21" s="6">
        <f t="shared" si="8"/>
        <v>18</v>
      </c>
      <c r="X21" s="11">
        <f t="shared" si="9"/>
        <v>47</v>
      </c>
      <c r="Y21" s="11">
        <f t="shared" si="5"/>
        <v>20</v>
      </c>
    </row>
    <row r="22" customFormat="1" spans="1:25">
      <c r="A22" s="4" t="s">
        <v>48</v>
      </c>
      <c r="B22" s="5" t="s">
        <v>49</v>
      </c>
      <c r="C22" s="6">
        <v>4</v>
      </c>
      <c r="D22" s="6">
        <v>4</v>
      </c>
      <c r="E22" s="6">
        <v>3</v>
      </c>
      <c r="F22" s="6">
        <v>3</v>
      </c>
      <c r="G22" s="6">
        <v>4</v>
      </c>
      <c r="H22" s="6">
        <v>3</v>
      </c>
      <c r="I22" s="6">
        <v>2</v>
      </c>
      <c r="J22" s="6">
        <v>4</v>
      </c>
      <c r="K22" s="6">
        <v>2</v>
      </c>
      <c r="L22" s="6">
        <v>4</v>
      </c>
      <c r="M22" s="6">
        <v>2</v>
      </c>
      <c r="N22" s="6">
        <v>2</v>
      </c>
      <c r="O22" s="6">
        <v>2</v>
      </c>
      <c r="P22" s="6">
        <v>4</v>
      </c>
      <c r="Q22" s="6">
        <v>2</v>
      </c>
      <c r="R22" s="6">
        <v>4</v>
      </c>
      <c r="S22" s="6">
        <v>4</v>
      </c>
      <c r="T22" s="6">
        <v>4</v>
      </c>
      <c r="U22" s="6">
        <f t="shared" si="6"/>
        <v>13</v>
      </c>
      <c r="V22" s="6">
        <f t="shared" si="7"/>
        <v>15</v>
      </c>
      <c r="W22" s="6">
        <f t="shared" si="8"/>
        <v>13</v>
      </c>
      <c r="X22" s="11">
        <f t="shared" si="9"/>
        <v>41</v>
      </c>
      <c r="Y22" s="11">
        <f t="shared" si="5"/>
        <v>16</v>
      </c>
    </row>
    <row r="23" customFormat="1" spans="1:25">
      <c r="A23" s="4" t="s">
        <v>50</v>
      </c>
      <c r="B23" s="5" t="s">
        <v>51</v>
      </c>
      <c r="C23" s="7">
        <v>4</v>
      </c>
      <c r="D23" s="7">
        <v>4</v>
      </c>
      <c r="E23" s="7">
        <v>4</v>
      </c>
      <c r="F23" s="7">
        <v>4</v>
      </c>
      <c r="G23" s="7">
        <v>3</v>
      </c>
      <c r="H23" s="7">
        <v>4</v>
      </c>
      <c r="I23" s="7">
        <v>3</v>
      </c>
      <c r="J23" s="7">
        <v>4</v>
      </c>
      <c r="K23" s="7">
        <v>3</v>
      </c>
      <c r="L23" s="7">
        <v>4</v>
      </c>
      <c r="M23" s="7">
        <v>3</v>
      </c>
      <c r="N23" s="7">
        <v>4</v>
      </c>
      <c r="O23" s="7">
        <v>4</v>
      </c>
      <c r="P23" s="7">
        <v>2</v>
      </c>
      <c r="Q23" s="7">
        <v>4</v>
      </c>
      <c r="R23" s="7">
        <v>4</v>
      </c>
      <c r="S23" s="7">
        <v>4</v>
      </c>
      <c r="T23" s="7">
        <v>2</v>
      </c>
      <c r="U23" s="6">
        <f>SUM(D23+F23+O23+S23)</f>
        <v>16</v>
      </c>
      <c r="V23" s="6">
        <f>SUM(C23+H23+J23+R23)</f>
        <v>16</v>
      </c>
      <c r="W23" s="6">
        <f>SUM(E23+I23+L23+M23+Q23)</f>
        <v>18</v>
      </c>
      <c r="X23" s="11">
        <f>SUM(U23:W23)</f>
        <v>50</v>
      </c>
      <c r="Y23" s="11">
        <f>SUM(G23+K23+N23+P23+T23)</f>
        <v>14</v>
      </c>
    </row>
    <row r="24" customFormat="1" spans="1:25">
      <c r="A24" s="4" t="s">
        <v>52</v>
      </c>
      <c r="B24" s="5" t="s">
        <v>53</v>
      </c>
      <c r="C24" s="7">
        <v>4</v>
      </c>
      <c r="D24" s="7">
        <v>4</v>
      </c>
      <c r="E24" s="7">
        <v>3</v>
      </c>
      <c r="F24" s="7">
        <v>4</v>
      </c>
      <c r="G24" s="7">
        <v>3</v>
      </c>
      <c r="H24" s="7">
        <v>4</v>
      </c>
      <c r="I24" s="7">
        <v>4</v>
      </c>
      <c r="J24" s="7">
        <v>4</v>
      </c>
      <c r="K24" s="7">
        <v>2</v>
      </c>
      <c r="L24" s="7">
        <v>4</v>
      </c>
      <c r="M24" s="7">
        <v>2</v>
      </c>
      <c r="N24" s="7">
        <v>1</v>
      </c>
      <c r="O24" s="7">
        <v>2</v>
      </c>
      <c r="P24" s="7">
        <v>2</v>
      </c>
      <c r="Q24" s="7">
        <v>4</v>
      </c>
      <c r="R24" s="7">
        <v>4</v>
      </c>
      <c r="S24" s="7">
        <v>4</v>
      </c>
      <c r="T24" s="7">
        <v>3</v>
      </c>
      <c r="U24" s="6">
        <f>SUM(D24+F24+O24+S24)</f>
        <v>14</v>
      </c>
      <c r="V24" s="6">
        <f>SUM(C24+H24+J24+R24)</f>
        <v>16</v>
      </c>
      <c r="W24" s="6">
        <f>SUM(E24+I24+L24+M24+Q24)</f>
        <v>17</v>
      </c>
      <c r="X24" s="11">
        <f>SUM(U24:W24)</f>
        <v>47</v>
      </c>
      <c r="Y24" s="11">
        <f>SUM(G24+K24+N24+P24+T24)</f>
        <v>11</v>
      </c>
    </row>
    <row r="25" customFormat="1" spans="1:25">
      <c r="A25" s="4" t="s">
        <v>54</v>
      </c>
      <c r="B25" s="5" t="s">
        <v>55</v>
      </c>
      <c r="C25" s="6">
        <v>3</v>
      </c>
      <c r="D25" s="6">
        <v>4</v>
      </c>
      <c r="E25" s="6">
        <v>4</v>
      </c>
      <c r="F25" s="6">
        <v>4</v>
      </c>
      <c r="G25" s="6">
        <v>4</v>
      </c>
      <c r="H25" s="6">
        <v>4</v>
      </c>
      <c r="I25" s="6">
        <v>3</v>
      </c>
      <c r="J25" s="6">
        <v>4</v>
      </c>
      <c r="K25" s="6">
        <v>3</v>
      </c>
      <c r="L25" s="6">
        <v>4</v>
      </c>
      <c r="M25" s="6">
        <v>4</v>
      </c>
      <c r="N25" s="6">
        <v>4</v>
      </c>
      <c r="O25" s="6">
        <v>4</v>
      </c>
      <c r="P25" s="6">
        <v>4</v>
      </c>
      <c r="Q25" s="6">
        <v>3</v>
      </c>
      <c r="R25" s="6">
        <v>3</v>
      </c>
      <c r="S25" s="6">
        <v>4</v>
      </c>
      <c r="T25" s="6">
        <v>4</v>
      </c>
      <c r="U25" s="6">
        <f>SUM(D25+F25+O25+S25)</f>
        <v>16</v>
      </c>
      <c r="V25" s="6">
        <f>SUM(C25+H25+J25+R25)</f>
        <v>14</v>
      </c>
      <c r="W25" s="6">
        <f>SUM(E25+I25+L25+M25+Q25)</f>
        <v>18</v>
      </c>
      <c r="X25" s="11">
        <f>SUM(U25:W25)</f>
        <v>48</v>
      </c>
      <c r="Y25" s="11">
        <f>SUM(G25+K25+N25+P25+T25)</f>
        <v>19</v>
      </c>
    </row>
    <row r="26" customFormat="1" spans="1:25">
      <c r="A26" s="4" t="s">
        <v>56</v>
      </c>
      <c r="B26" s="5" t="s">
        <v>57</v>
      </c>
      <c r="C26" s="6">
        <v>3</v>
      </c>
      <c r="D26" s="6">
        <v>4</v>
      </c>
      <c r="E26" s="6">
        <v>4</v>
      </c>
      <c r="F26" s="6">
        <v>4</v>
      </c>
      <c r="G26" s="6">
        <v>3</v>
      </c>
      <c r="H26" s="6">
        <v>3</v>
      </c>
      <c r="I26" s="6">
        <v>2</v>
      </c>
      <c r="J26" s="6">
        <v>4</v>
      </c>
      <c r="K26" s="6">
        <v>2</v>
      </c>
      <c r="L26" s="6">
        <v>4</v>
      </c>
      <c r="M26" s="6">
        <v>3</v>
      </c>
      <c r="N26" s="6">
        <v>3</v>
      </c>
      <c r="O26" s="6">
        <v>4</v>
      </c>
      <c r="P26" s="6">
        <v>3</v>
      </c>
      <c r="Q26" s="6">
        <v>4</v>
      </c>
      <c r="R26" s="6">
        <v>3</v>
      </c>
      <c r="S26" s="6">
        <v>4</v>
      </c>
      <c r="T26" s="6">
        <v>3</v>
      </c>
      <c r="U26" s="6">
        <f>SUM(D26+F26+O26+S26)</f>
        <v>16</v>
      </c>
      <c r="V26" s="6">
        <f>SUM(C26+H26+J26+R26)</f>
        <v>13</v>
      </c>
      <c r="W26" s="6">
        <f>SUM(E26+I26+L26+M26+Q26)</f>
        <v>17</v>
      </c>
      <c r="X26" s="11">
        <f>SUM(U26:W26)</f>
        <v>46</v>
      </c>
      <c r="Y26" s="11">
        <f>SUM(G26+K26+N26+P26+T26)</f>
        <v>14</v>
      </c>
    </row>
    <row r="27" customFormat="1" spans="1:25">
      <c r="A27" s="4" t="s">
        <v>58</v>
      </c>
      <c r="B27" s="5" t="s">
        <v>59</v>
      </c>
      <c r="C27" s="6">
        <v>4</v>
      </c>
      <c r="D27" s="6">
        <v>4</v>
      </c>
      <c r="E27" s="6">
        <v>4</v>
      </c>
      <c r="F27" s="6">
        <v>4</v>
      </c>
      <c r="G27" s="6">
        <v>4</v>
      </c>
      <c r="H27" s="6">
        <v>4</v>
      </c>
      <c r="I27" s="6">
        <v>4</v>
      </c>
      <c r="J27" s="6">
        <v>4</v>
      </c>
      <c r="K27" s="6">
        <v>1</v>
      </c>
      <c r="L27" s="6">
        <v>4</v>
      </c>
      <c r="M27" s="6">
        <v>3</v>
      </c>
      <c r="N27" s="6">
        <v>3</v>
      </c>
      <c r="O27" s="6">
        <v>4</v>
      </c>
      <c r="P27" s="6">
        <v>4</v>
      </c>
      <c r="Q27" s="6">
        <v>3</v>
      </c>
      <c r="R27" s="6">
        <v>4</v>
      </c>
      <c r="S27" s="6">
        <v>4</v>
      </c>
      <c r="T27" s="6">
        <v>4</v>
      </c>
      <c r="U27" s="6">
        <f>SUM(D27+F27+O27+S27)</f>
        <v>16</v>
      </c>
      <c r="V27" s="6">
        <f>SUM(C27+H27+J27+R27)</f>
        <v>16</v>
      </c>
      <c r="W27" s="6">
        <f>SUM(E27+I27+L27+M27+Q27)</f>
        <v>18</v>
      </c>
      <c r="X27" s="11">
        <f>SUM(U27:W27)</f>
        <v>50</v>
      </c>
      <c r="Y27" s="11">
        <f>SUM(G27+K27+N27+P27+T27)</f>
        <v>16</v>
      </c>
    </row>
    <row r="28" customFormat="1" spans="1:25">
      <c r="A28" s="4" t="s">
        <v>60</v>
      </c>
      <c r="B28" s="5" t="s">
        <v>61</v>
      </c>
      <c r="C28" s="6">
        <v>3</v>
      </c>
      <c r="D28" s="6">
        <v>3</v>
      </c>
      <c r="E28" s="6">
        <v>3</v>
      </c>
      <c r="F28" s="6">
        <v>4</v>
      </c>
      <c r="G28" s="6">
        <v>3</v>
      </c>
      <c r="H28" s="6">
        <v>3</v>
      </c>
      <c r="I28" s="6">
        <v>3</v>
      </c>
      <c r="J28" s="6">
        <v>3</v>
      </c>
      <c r="K28" s="6">
        <v>3</v>
      </c>
      <c r="L28" s="6">
        <v>4</v>
      </c>
      <c r="M28" s="6">
        <v>3</v>
      </c>
      <c r="N28" s="6">
        <v>3</v>
      </c>
      <c r="O28" s="6">
        <v>3</v>
      </c>
      <c r="P28" s="6">
        <v>3</v>
      </c>
      <c r="Q28" s="6">
        <v>4</v>
      </c>
      <c r="R28" s="6">
        <v>3</v>
      </c>
      <c r="S28" s="6">
        <v>4</v>
      </c>
      <c r="T28" s="6">
        <v>4</v>
      </c>
      <c r="U28" s="6">
        <f>SUM(D28+F28+O28+S28)</f>
        <v>14</v>
      </c>
      <c r="V28" s="6">
        <f>SUM(C28+H28+J28+R28)</f>
        <v>12</v>
      </c>
      <c r="W28" s="6">
        <f>SUM(E28+I28+L28+M28+Q28)</f>
        <v>17</v>
      </c>
      <c r="X28" s="11">
        <f>SUM(U28:W28)</f>
        <v>43</v>
      </c>
      <c r="Y28" s="11">
        <f>SUM(G28+K28+N28+P28+T28)</f>
        <v>16</v>
      </c>
    </row>
    <row r="29" customFormat="1" spans="1:25">
      <c r="A29" s="4" t="s">
        <v>62</v>
      </c>
      <c r="B29" s="5" t="s">
        <v>63</v>
      </c>
      <c r="C29" s="6">
        <v>3</v>
      </c>
      <c r="D29" s="6">
        <v>4</v>
      </c>
      <c r="E29" s="6">
        <v>4</v>
      </c>
      <c r="F29" s="6">
        <v>4</v>
      </c>
      <c r="G29" s="6">
        <v>3</v>
      </c>
      <c r="H29" s="6">
        <v>2</v>
      </c>
      <c r="I29" s="6">
        <v>2</v>
      </c>
      <c r="J29" s="6">
        <v>3</v>
      </c>
      <c r="K29" s="6">
        <v>3</v>
      </c>
      <c r="L29" s="6">
        <v>3</v>
      </c>
      <c r="M29" s="6">
        <v>3</v>
      </c>
      <c r="N29" s="6">
        <v>3</v>
      </c>
      <c r="O29" s="6">
        <v>3</v>
      </c>
      <c r="P29" s="6">
        <v>3</v>
      </c>
      <c r="Q29" s="6">
        <v>3</v>
      </c>
      <c r="R29" s="6">
        <v>2</v>
      </c>
      <c r="S29" s="6">
        <v>4</v>
      </c>
      <c r="T29" s="6">
        <v>3</v>
      </c>
      <c r="U29" s="6">
        <f>SUM(D29+F29+O29+S29)</f>
        <v>15</v>
      </c>
      <c r="V29" s="6">
        <f>SUM(C29+H29+J29+R29)</f>
        <v>10</v>
      </c>
      <c r="W29" s="6">
        <f>SUM(E29+I29+L29+M29+Q29)</f>
        <v>15</v>
      </c>
      <c r="X29" s="11">
        <f>SUM(U29:W29)</f>
        <v>40</v>
      </c>
      <c r="Y29" s="11">
        <f>SUM(G29+K29+N29+P29+T29)</f>
        <v>15</v>
      </c>
    </row>
    <row r="30" customFormat="1" spans="1:25">
      <c r="A30" s="4" t="s">
        <v>64</v>
      </c>
      <c r="B30" s="5" t="s">
        <v>65</v>
      </c>
      <c r="C30" s="6">
        <v>4</v>
      </c>
      <c r="D30" s="6">
        <v>4</v>
      </c>
      <c r="E30" s="6">
        <v>2</v>
      </c>
      <c r="F30" s="6">
        <v>3</v>
      </c>
      <c r="G30" s="6">
        <v>3</v>
      </c>
      <c r="H30" s="6">
        <v>2</v>
      </c>
      <c r="I30" s="6">
        <v>2</v>
      </c>
      <c r="J30" s="6">
        <v>3</v>
      </c>
      <c r="K30" s="6">
        <v>3</v>
      </c>
      <c r="L30" s="6">
        <v>3</v>
      </c>
      <c r="M30" s="6">
        <v>2</v>
      </c>
      <c r="N30" s="6">
        <v>3</v>
      </c>
      <c r="O30" s="6">
        <v>3</v>
      </c>
      <c r="P30" s="6">
        <v>3</v>
      </c>
      <c r="Q30" s="6">
        <v>3</v>
      </c>
      <c r="R30" s="6">
        <v>3</v>
      </c>
      <c r="S30" s="6">
        <v>4</v>
      </c>
      <c r="T30" s="6">
        <v>3</v>
      </c>
      <c r="U30" s="6">
        <f>SUM(D30+F30+O30+S30)</f>
        <v>14</v>
      </c>
      <c r="V30" s="6">
        <f>SUM(C30+H30+J30+R30)</f>
        <v>12</v>
      </c>
      <c r="W30" s="6">
        <f>SUM(E30+I30+L30+M30+Q30)</f>
        <v>12</v>
      </c>
      <c r="X30" s="11">
        <f>SUM(U30:W30)</f>
        <v>38</v>
      </c>
      <c r="Y30" s="11">
        <f>SUM(G30+K30+N30+P30+T30)</f>
        <v>15</v>
      </c>
    </row>
    <row r="31" customFormat="1" spans="1:25">
      <c r="A31" s="4" t="s">
        <v>66</v>
      </c>
      <c r="B31" s="5" t="s">
        <v>67</v>
      </c>
      <c r="C31" s="6">
        <v>4</v>
      </c>
      <c r="D31" s="6">
        <v>4</v>
      </c>
      <c r="E31" s="6">
        <v>4</v>
      </c>
      <c r="F31" s="6">
        <v>4</v>
      </c>
      <c r="G31" s="6">
        <v>4</v>
      </c>
      <c r="H31" s="6">
        <v>4</v>
      </c>
      <c r="I31" s="6">
        <v>4</v>
      </c>
      <c r="J31" s="6">
        <v>3</v>
      </c>
      <c r="K31" s="6">
        <v>4</v>
      </c>
      <c r="L31" s="6">
        <v>4</v>
      </c>
      <c r="M31" s="6">
        <v>3</v>
      </c>
      <c r="N31" s="6">
        <v>3</v>
      </c>
      <c r="O31" s="6">
        <v>4</v>
      </c>
      <c r="P31" s="6">
        <v>4</v>
      </c>
      <c r="Q31" s="6">
        <v>2</v>
      </c>
      <c r="R31" s="6">
        <v>2</v>
      </c>
      <c r="S31" s="6">
        <v>4</v>
      </c>
      <c r="T31" s="6">
        <v>3</v>
      </c>
      <c r="U31" s="6">
        <f>SUM(D31+F31+O31+S31)</f>
        <v>16</v>
      </c>
      <c r="V31" s="6">
        <f>SUM(C31+H31+J31+R31)</f>
        <v>13</v>
      </c>
      <c r="W31" s="6">
        <f>SUM(E31+I31+L31+M31+Q31)</f>
        <v>17</v>
      </c>
      <c r="X31" s="11">
        <f>SUM(U31:W31)</f>
        <v>46</v>
      </c>
      <c r="Y31" s="11">
        <f>SUM(G31+K31+N31+P31+T31)</f>
        <v>18</v>
      </c>
    </row>
    <row r="32" customFormat="1" spans="1:25">
      <c r="A32" s="4" t="s">
        <v>68</v>
      </c>
      <c r="B32" s="5" t="s">
        <v>69</v>
      </c>
      <c r="C32" s="6">
        <v>4</v>
      </c>
      <c r="D32" s="6">
        <v>4</v>
      </c>
      <c r="E32" s="6">
        <v>3</v>
      </c>
      <c r="F32" s="6">
        <v>4</v>
      </c>
      <c r="G32" s="6">
        <v>3</v>
      </c>
      <c r="H32" s="6">
        <v>4</v>
      </c>
      <c r="I32" s="6">
        <v>3</v>
      </c>
      <c r="J32" s="6">
        <v>4</v>
      </c>
      <c r="K32" s="6">
        <v>3</v>
      </c>
      <c r="L32" s="6">
        <v>4</v>
      </c>
      <c r="M32" s="6">
        <v>2</v>
      </c>
      <c r="N32" s="6">
        <v>3</v>
      </c>
      <c r="O32" s="6">
        <v>3</v>
      </c>
      <c r="P32" s="6">
        <v>3</v>
      </c>
      <c r="Q32" s="6">
        <v>4</v>
      </c>
      <c r="R32" s="6">
        <v>3</v>
      </c>
      <c r="S32" s="6">
        <v>4</v>
      </c>
      <c r="T32" s="6">
        <v>3</v>
      </c>
      <c r="U32" s="6">
        <f>SUM(D32+F32+O32+S32)</f>
        <v>15</v>
      </c>
      <c r="V32" s="6">
        <f>SUM(C32+H32+J32+R32)</f>
        <v>15</v>
      </c>
      <c r="W32" s="6">
        <f>SUM(E32+I32+L32+M32+Q32)</f>
        <v>16</v>
      </c>
      <c r="X32" s="11">
        <f>SUM(U32:W32)</f>
        <v>46</v>
      </c>
      <c r="Y32" s="11">
        <f>SUM(G32+K32+N32+P32+T32)</f>
        <v>15</v>
      </c>
    </row>
    <row r="33" customFormat="1" spans="1:25">
      <c r="A33" s="4" t="s">
        <v>70</v>
      </c>
      <c r="B33" s="5" t="s">
        <v>71</v>
      </c>
      <c r="C33" s="6">
        <v>3</v>
      </c>
      <c r="D33" s="6">
        <v>3</v>
      </c>
      <c r="E33" s="6">
        <v>3</v>
      </c>
      <c r="F33" s="6">
        <v>4</v>
      </c>
      <c r="G33" s="6">
        <v>4</v>
      </c>
      <c r="H33" s="6">
        <v>3</v>
      </c>
      <c r="I33" s="6">
        <v>3</v>
      </c>
      <c r="J33" s="6">
        <v>4</v>
      </c>
      <c r="K33" s="6">
        <v>3</v>
      </c>
      <c r="L33" s="6">
        <v>3</v>
      </c>
      <c r="M33" s="6">
        <v>2</v>
      </c>
      <c r="N33" s="6">
        <v>3</v>
      </c>
      <c r="O33" s="6">
        <v>3</v>
      </c>
      <c r="P33" s="6">
        <v>3</v>
      </c>
      <c r="Q33" s="6">
        <v>4</v>
      </c>
      <c r="R33" s="6">
        <v>3</v>
      </c>
      <c r="S33" s="6">
        <v>4</v>
      </c>
      <c r="T33" s="6">
        <v>3</v>
      </c>
      <c r="U33" s="6">
        <f>SUM(D33+F33+O33+S33)</f>
        <v>14</v>
      </c>
      <c r="V33" s="6">
        <f>SUM(C33+H33+J33+R33)</f>
        <v>13</v>
      </c>
      <c r="W33" s="6">
        <f>SUM(E33+I33+L33+M33+Q33)</f>
        <v>15</v>
      </c>
      <c r="X33" s="11">
        <f>SUM(U33:W33)</f>
        <v>42</v>
      </c>
      <c r="Y33" s="11">
        <f>SUM(G33+K33+N33+P33+T33)</f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实验材料</vt:lpstr>
      <vt:lpstr>实验条件</vt:lpstr>
      <vt:lpstr>运教关系</vt:lpstr>
      <vt:lpstr>教练员领导方式</vt:lpstr>
      <vt:lpstr>动机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sunny</cp:lastModifiedBy>
  <dcterms:created xsi:type="dcterms:W3CDTF">2022-07-21T01:30:00Z</dcterms:created>
  <dcterms:modified xsi:type="dcterms:W3CDTF">2023-02-02T15:32:04Z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D93CF1ED1A2448AEBCE7E189DDCBFD54</vt:lpwstr>
  </property>
  <property fmtid="{D5CDD505-2E9C-101B-9397-08002B2CF9AE}" pid="3" name="KSOProductBuildVer">
    <vt:lpwstr>2052-11.1.0.12980</vt:lpwstr>
  </property>
  <property fmtid="{D5CDD505-2E9C-101B-9397-08002B2CF9AE}" pid="4" name="KSOReadingLayout">
    <vt:bool>true</vt:bool>
  </property>
</Properties>
</file>