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10097" activeTab="4"/>
  </bookViews>
  <sheets>
    <sheet name="实验材料" sheetId="2" r:id="rId1"/>
    <sheet name="实验条件" sheetId="1" r:id="rId2"/>
    <sheet name="运教关系" sheetId="3" r:id="rId3"/>
    <sheet name="教练领导方式" sheetId="4" r:id="rId4"/>
    <sheet name="趋近动机" sheetId="5" r:id="rId5"/>
  </sheets>
  <definedNames>
    <definedName name="_xlnm._FilterDatabase" localSheetId="0" hidden="1">实验材料!$A$2:$M$10</definedName>
    <definedName name="_xlnm._FilterDatabase" localSheetId="2" hidden="1">运教关系!$A$2:$U$9</definedName>
    <definedName name="_xlnm._FilterDatabase" localSheetId="3" hidden="1">教练领导方式!$A$2:$X$9</definedName>
    <definedName name="_xlnm._FilterDatabase" localSheetId="4" hidden="1">趋近动机!#REF!</definedName>
  </definedNames>
  <calcPr calcId="144525"/>
</workbook>
</file>

<file path=xl/sharedStrings.xml><?xml version="1.0" encoding="utf-8"?>
<sst xmlns="http://schemas.openxmlformats.org/spreadsheetml/2006/main" count="133" uniqueCount="91">
  <si>
    <t>以下语句是您对教练面孔和教练语言反馈的感受评价。（1=最弱，7=最强）</t>
  </si>
  <si>
    <t>编号</t>
  </si>
  <si>
    <t>姓名</t>
  </si>
  <si>
    <t>面孔辨识度</t>
  </si>
  <si>
    <t>面孔情绪状态</t>
  </si>
  <si>
    <t>面孔激励度</t>
  </si>
  <si>
    <t>评价熟悉度</t>
  </si>
  <si>
    <t>评价激励度</t>
  </si>
  <si>
    <t>3</t>
  </si>
  <si>
    <t>肖衡</t>
  </si>
  <si>
    <t>4</t>
  </si>
  <si>
    <t>陈浩然</t>
  </si>
  <si>
    <t>5</t>
  </si>
  <si>
    <t>黄旭新</t>
  </si>
  <si>
    <t>6</t>
  </si>
  <si>
    <t>王玥</t>
  </si>
  <si>
    <t>7</t>
  </si>
  <si>
    <t>闫思怡</t>
  </si>
  <si>
    <t>8</t>
  </si>
  <si>
    <t>孙誉嫡</t>
  </si>
  <si>
    <t>9</t>
  </si>
  <si>
    <t>刘霜</t>
  </si>
  <si>
    <t>均值</t>
  </si>
  <si>
    <t>以下词语是对您此时此刻状态的描述。</t>
  </si>
  <si>
    <t>奖励-受鼓舞</t>
  </si>
  <si>
    <t>奖励-满意</t>
  </si>
  <si>
    <t>奖励-兴奋</t>
  </si>
  <si>
    <t>奖励-羞愧</t>
  </si>
  <si>
    <t>奖励-烦躁</t>
  </si>
  <si>
    <t>奖励-沮丧</t>
  </si>
  <si>
    <t>惩罚-受鼓舞</t>
  </si>
  <si>
    <t>惩罚-满意</t>
  </si>
  <si>
    <t>惩罚-兴奋</t>
  </si>
  <si>
    <t>惩罚-羞愧</t>
  </si>
  <si>
    <t>惩罚-烦躁</t>
  </si>
  <si>
    <t>惩罚-沮丧</t>
  </si>
  <si>
    <t>奖励积极</t>
  </si>
  <si>
    <t>奖励消极</t>
  </si>
  <si>
    <t>惩罚积极</t>
  </si>
  <si>
    <t>惩罚消极</t>
  </si>
  <si>
    <t>以下语句是描述您对教练的感觉。（1=完全不同意，5=完全同意）</t>
  </si>
  <si>
    <t>序号</t>
  </si>
  <si>
    <t>您的姓名：</t>
  </si>
  <si>
    <t>1.我喜欢我的教练</t>
  </si>
  <si>
    <t>2.我与教练的关系比较亲近</t>
  </si>
  <si>
    <t>3.当教练指导我时，我会做出积极回应</t>
  </si>
  <si>
    <t>4.当教练指导我时，我表现得比较友好</t>
  </si>
  <si>
    <t>5.我信任我的教练</t>
  </si>
  <si>
    <t>6.我忠于我的教练，我愿意和他保持长期合作关系</t>
  </si>
  <si>
    <t>7.跟我的教练在一起，我感到我的运动生涯充满了希望</t>
  </si>
  <si>
    <t>8.当教练指导我时，我觉得轻松</t>
  </si>
  <si>
    <t>9.我尊重我的教练</t>
  </si>
  <si>
    <t>10.当教练指导我时，我会全力以赴，力争做到最好</t>
  </si>
  <si>
    <t>11.我很感激教练为了提高我的运动成绩所作出的牺牲</t>
  </si>
  <si>
    <t>总分（55）</t>
  </si>
  <si>
    <t>以下语句是对教练员领导行为的描述。（1=完全不同意，5=完全同意）</t>
  </si>
  <si>
    <t>1.征求运动员对具体比赛策略的意见</t>
  </si>
  <si>
    <t>2.在决策重大事件时征询全队员的意见</t>
  </si>
  <si>
    <t>3.让运动员参与决策制订的过程</t>
  </si>
  <si>
    <t>4.鼓励运动员对指导训练的方法提出建议</t>
  </si>
  <si>
    <t>5.在重大的训练、比赛事宜上征求运动员的意见</t>
  </si>
  <si>
    <t>6.与运动员保持冷淡、疏远的态度</t>
  </si>
  <si>
    <t>7.在自己讲话时不喜欢运动员提出问题</t>
  </si>
  <si>
    <t>8.要求运动员无条件接受他（她）的意见</t>
  </si>
  <si>
    <t>9.以命令的口吻指导训练和比赛</t>
  </si>
  <si>
    <t>10.在队内事务上不允许别人参与决策</t>
  </si>
  <si>
    <t>民主型（25）</t>
  </si>
  <si>
    <t>专制型（25）</t>
  </si>
  <si>
    <t>1、我会尽其所能去得到我想要的东西</t>
  </si>
  <si>
    <t>2、当我把某件事情做得很好时，我会喜欢继续做它</t>
  </si>
  <si>
    <t>3、只要我觉得某件事情可能有趣，我就会去尝试它</t>
  </si>
  <si>
    <t>4、当我得到想要的事物时，我觉得很兴奋并充满能量</t>
  </si>
  <si>
    <t>5、被批评或指责会让我感到很难过</t>
  </si>
  <si>
    <t>6、当我想要某件东西时，我会想方设法去得到它</t>
  </si>
  <si>
    <t>7、我常只因为好玩或有趣就去做某些事</t>
  </si>
  <si>
    <t>8、当我有机会获得我想要的东西时，我会马上行动起来</t>
  </si>
  <si>
    <t>9、如果我想到或知道有人生我的气，我就觉得很紧张或心情不好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</si>
  <si>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、当有机会得到我想要的东西时，我会立刻兴奋起来</t>
    </r>
  </si>
  <si>
    <t>11、我常因一时冲动就行动</t>
  </si>
  <si>
    <r>
      <rPr>
        <sz val="10"/>
        <rFont val="Arial"/>
        <charset val="134"/>
      </rPr>
      <t>12</t>
    </r>
    <r>
      <rPr>
        <sz val="10"/>
        <rFont val="宋体"/>
        <charset val="134"/>
      </rPr>
      <t>、如果我觉得有不愉快的事情可能会发生，那我就会变得坐立不安</t>
    </r>
  </si>
  <si>
    <r>
      <rPr>
        <sz val="10"/>
        <rFont val="Arial"/>
        <charset val="134"/>
      </rPr>
      <t>13</t>
    </r>
    <r>
      <rPr>
        <sz val="10"/>
        <rFont val="宋体"/>
        <charset val="134"/>
      </rPr>
      <t>、有好事情发生在我身上时，我会受到很大的影响</t>
    </r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</si>
  <si>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、如果我想到没把某件事情做好，我就觉得紧张</t>
    </r>
  </si>
  <si>
    <r>
      <rPr>
        <sz val="10"/>
        <rFont val="Arial"/>
        <charset val="134"/>
      </rPr>
      <t>15</t>
    </r>
    <r>
      <rPr>
        <sz val="10"/>
        <rFont val="宋体"/>
        <charset val="134"/>
      </rPr>
      <t>、我喜欢刺激及新鲜感</t>
    </r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</si>
  <si>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、我会以</t>
    </r>
    <r>
      <rPr>
        <sz val="10"/>
        <rFont val="Arial"/>
        <charset val="134"/>
      </rPr>
      <t>“</t>
    </r>
    <r>
      <rPr>
        <sz val="10"/>
        <rFont val="宋体"/>
        <charset val="134"/>
      </rPr>
      <t>排除万难</t>
    </r>
    <r>
      <rPr>
        <sz val="10"/>
        <rFont val="Arial"/>
        <charset val="134"/>
      </rPr>
      <t>”</t>
    </r>
    <r>
      <rPr>
        <sz val="10"/>
        <rFont val="宋体"/>
        <charset val="134"/>
      </rPr>
      <t>的态度追求我想要的东西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</si>
  <si>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、赢得比赛让我很兴奋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</si>
  <si>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、我担心我会犯错</t>
    </r>
  </si>
  <si>
    <t>奖赏反应BASR</t>
  </si>
  <si>
    <t>驱力BASD</t>
  </si>
  <si>
    <t>愉悦追求BASF</t>
  </si>
  <si>
    <r>
      <rPr>
        <sz val="10"/>
        <rFont val="宋体"/>
        <charset val="134"/>
      </rPr>
      <t>行为激活</t>
    </r>
    <r>
      <rPr>
        <sz val="10"/>
        <rFont val="Arial"/>
        <charset val="134"/>
      </rPr>
      <t>BAS</t>
    </r>
  </si>
  <si>
    <t>行为抑制BIS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</si>
</sst>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 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1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0" borderId="0"/>
  </cellStyleXfs>
  <cellXfs count="3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3" borderId="0" xfId="49" applyFill="1" applyAlignment="1">
      <alignment horizontal="center" vertical="center"/>
    </xf>
    <xf numFmtId="0" fontId="2" fillId="0" borderId="0" xfId="49" applyFont="1" applyFill="1" applyAlignment="1">
      <alignment horizontal="left" vertical="center"/>
    </xf>
    <xf numFmtId="0" fontId="1" fillId="0" borderId="0" xfId="49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1" fillId="0" borderId="0" xfId="49" applyFont="1" applyFill="1" applyAlignment="1"/>
    <xf numFmtId="0" fontId="1" fillId="0" borderId="0" xfId="49" applyFont="1" applyFill="1" applyAlignment="1">
      <alignment horizontal="left" vertical="center"/>
    </xf>
    <xf numFmtId="0" fontId="1" fillId="2" borderId="0" xfId="49" applyFill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1" fillId="0" borderId="0" xfId="49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0" xfId="49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4" borderId="0" xfId="49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5" borderId="0" xfId="0" applyFill="1">
      <alignment vertical="center"/>
    </xf>
    <xf numFmtId="0" fontId="0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49" fontId="0" fillId="3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  <xf numFmtId="0" fontId="3" fillId="6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178" fontId="0" fillId="0" borderId="0" xfId="0" applyNumberForma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B6" sqref="B6:B9"/>
    </sheetView>
  </sheetViews>
  <sheetFormatPr defaultColWidth="8.61261261261261" defaultRowHeight="14.1"/>
  <cols>
    <col min="1" max="1" width="9.02702702702703" customWidth="1"/>
    <col min="2" max="2" width="9.57657657657658" customWidth="1"/>
    <col min="3" max="3" width="11.7477477477477" style="13" customWidth="1"/>
    <col min="4" max="4" width="14.5855855855856" style="13" customWidth="1"/>
    <col min="5" max="5" width="13.6666666666667" style="13" customWidth="1"/>
    <col min="6" max="6" width="14.5855855855856" style="13" customWidth="1"/>
    <col min="7" max="7" width="14.4324324324324" style="13" customWidth="1"/>
    <col min="8" max="8" width="8.6036036036036" customWidth="1"/>
    <col min="9" max="12" width="8.61261261261261" customWidth="1"/>
    <col min="13" max="13" width="12.7837837837838"/>
  </cols>
  <sheetData>
    <row r="1" spans="1:8">
      <c r="A1" s="14" t="s">
        <v>0</v>
      </c>
      <c r="B1" s="14"/>
      <c r="H1" s="14"/>
    </row>
    <row r="2" spans="1:13">
      <c r="A2" s="21" t="s">
        <v>1</v>
      </c>
      <c r="B2" s="21" t="s">
        <v>2</v>
      </c>
      <c r="C2" s="32" t="s">
        <v>3</v>
      </c>
      <c r="D2" s="32" t="s">
        <v>4</v>
      </c>
      <c r="E2" s="32" t="s">
        <v>5</v>
      </c>
      <c r="F2" s="33" t="s">
        <v>6</v>
      </c>
      <c r="G2" s="33" t="s">
        <v>7</v>
      </c>
      <c r="H2" s="14"/>
      <c r="I2" s="14"/>
      <c r="J2" s="14"/>
      <c r="K2" s="14"/>
      <c r="M2" s="34"/>
    </row>
    <row r="3" spans="1:13">
      <c r="A3" s="23" t="s">
        <v>8</v>
      </c>
      <c r="B3" s="6" t="s">
        <v>9</v>
      </c>
      <c r="C3" s="6">
        <v>7</v>
      </c>
      <c r="D3" s="6">
        <v>4</v>
      </c>
      <c r="E3" s="6">
        <v>7</v>
      </c>
      <c r="F3" s="6">
        <v>7</v>
      </c>
      <c r="G3" s="6">
        <v>7</v>
      </c>
      <c r="H3" s="14"/>
      <c r="I3" s="14"/>
      <c r="J3" s="14"/>
      <c r="K3" s="14"/>
      <c r="M3" s="34"/>
    </row>
    <row r="4" spans="1:7">
      <c r="A4" s="23" t="s">
        <v>10</v>
      </c>
      <c r="B4" s="6" t="s">
        <v>11</v>
      </c>
      <c r="C4" s="13">
        <v>7</v>
      </c>
      <c r="D4" s="13">
        <v>5</v>
      </c>
      <c r="E4" s="13">
        <v>3</v>
      </c>
      <c r="F4" s="13">
        <v>6</v>
      </c>
      <c r="G4" s="13">
        <v>5</v>
      </c>
    </row>
    <row r="5" spans="1:7">
      <c r="A5" s="23" t="s">
        <v>12</v>
      </c>
      <c r="B5" s="6" t="s">
        <v>13</v>
      </c>
      <c r="C5" s="13">
        <v>7</v>
      </c>
      <c r="D5" s="13">
        <v>4</v>
      </c>
      <c r="E5" s="13">
        <v>7</v>
      </c>
      <c r="F5" s="13">
        <v>7</v>
      </c>
      <c r="G5" s="13">
        <v>7</v>
      </c>
    </row>
    <row r="6" spans="1:7">
      <c r="A6" s="23" t="s">
        <v>14</v>
      </c>
      <c r="B6" s="6" t="s">
        <v>15</v>
      </c>
      <c r="C6" s="13">
        <v>7</v>
      </c>
      <c r="D6" s="13">
        <v>4</v>
      </c>
      <c r="E6" s="13">
        <v>3</v>
      </c>
      <c r="F6" s="13">
        <v>5</v>
      </c>
      <c r="G6" s="13">
        <v>3</v>
      </c>
    </row>
    <row r="7" spans="1:7">
      <c r="A7" s="23" t="s">
        <v>16</v>
      </c>
      <c r="B7" s="6" t="s">
        <v>17</v>
      </c>
      <c r="C7" s="13">
        <v>7</v>
      </c>
      <c r="D7" s="13">
        <v>4</v>
      </c>
      <c r="E7" s="13">
        <v>6</v>
      </c>
      <c r="F7" s="13">
        <v>7</v>
      </c>
      <c r="G7" s="13">
        <v>7</v>
      </c>
    </row>
    <row r="8" spans="1:7">
      <c r="A8" s="23" t="s">
        <v>18</v>
      </c>
      <c r="B8" s="6" t="s">
        <v>19</v>
      </c>
      <c r="C8" s="13">
        <v>7</v>
      </c>
      <c r="D8" s="13">
        <v>4</v>
      </c>
      <c r="E8" s="13">
        <v>5</v>
      </c>
      <c r="F8" s="13">
        <v>7</v>
      </c>
      <c r="G8" s="13">
        <v>5</v>
      </c>
    </row>
    <row r="9" spans="1:7">
      <c r="A9" s="23" t="s">
        <v>20</v>
      </c>
      <c r="B9" s="6" t="s">
        <v>21</v>
      </c>
      <c r="C9" s="13">
        <v>7</v>
      </c>
      <c r="D9" s="13">
        <v>4</v>
      </c>
      <c r="E9" s="13">
        <v>5</v>
      </c>
      <c r="F9" s="13">
        <v>7</v>
      </c>
      <c r="G9" s="13">
        <v>5</v>
      </c>
    </row>
    <row r="10" spans="1:7">
      <c r="A10" t="s">
        <v>22</v>
      </c>
      <c r="C10" s="24">
        <f>AVERAGE(C3:C9)</f>
        <v>7</v>
      </c>
      <c r="D10" s="24">
        <f>AVERAGE(D3:D9)</f>
        <v>4.14285714285714</v>
      </c>
      <c r="E10" s="24">
        <f>AVERAGE(E3:E9)</f>
        <v>5.14285714285714</v>
      </c>
      <c r="F10" s="24">
        <f>AVERAGE(F3:F9)</f>
        <v>6.57142857142857</v>
      </c>
      <c r="G10" s="24">
        <f>AVERAGE(G3:G9)</f>
        <v>5.57142857142857</v>
      </c>
    </row>
  </sheetData>
  <autoFilter ref="A2:M10">
    <extLst/>
  </autoFilter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B3" sqref="B3:B9"/>
    </sheetView>
  </sheetViews>
  <sheetFormatPr defaultColWidth="8.61261261261261" defaultRowHeight="14.1"/>
  <cols>
    <col min="3" max="3" width="12.9009009009009" customWidth="1"/>
    <col min="4" max="8" width="10.5855855855856" customWidth="1"/>
    <col min="9" max="9" width="12.9009009009009" customWidth="1"/>
    <col min="10" max="14" width="10.5855855855856" customWidth="1"/>
    <col min="15" max="18" width="8.61261261261261" style="20"/>
  </cols>
  <sheetData>
    <row r="1" spans="1:18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6"/>
      <c r="P1" s="26"/>
      <c r="Q1" s="26"/>
      <c r="R1" s="26"/>
    </row>
    <row r="2" spans="1:18">
      <c r="A2" s="21" t="s">
        <v>1</v>
      </c>
      <c r="B2" s="21" t="s">
        <v>2</v>
      </c>
      <c r="C2" s="22" t="s">
        <v>24</v>
      </c>
      <c r="D2" s="22" t="s">
        <v>25</v>
      </c>
      <c r="E2" s="22" t="s">
        <v>26</v>
      </c>
      <c r="F2" s="22" t="s">
        <v>27</v>
      </c>
      <c r="G2" s="22" t="s">
        <v>28</v>
      </c>
      <c r="H2" s="22" t="s">
        <v>29</v>
      </c>
      <c r="I2" s="28" t="s">
        <v>30</v>
      </c>
      <c r="J2" s="28" t="s">
        <v>31</v>
      </c>
      <c r="K2" s="28" t="s">
        <v>32</v>
      </c>
      <c r="L2" s="28" t="s">
        <v>33</v>
      </c>
      <c r="M2" s="28" t="s">
        <v>34</v>
      </c>
      <c r="N2" s="28" t="s">
        <v>35</v>
      </c>
      <c r="O2" s="20" t="s">
        <v>36</v>
      </c>
      <c r="P2" s="20" t="s">
        <v>37</v>
      </c>
      <c r="Q2" s="20" t="s">
        <v>38</v>
      </c>
      <c r="R2" s="20" t="s">
        <v>39</v>
      </c>
    </row>
    <row r="3" spans="1:18">
      <c r="A3" s="23" t="s">
        <v>8</v>
      </c>
      <c r="B3" s="6" t="s">
        <v>9</v>
      </c>
      <c r="C3" s="13">
        <v>6</v>
      </c>
      <c r="D3" s="13">
        <v>5</v>
      </c>
      <c r="E3" s="13">
        <v>4</v>
      </c>
      <c r="F3" s="13">
        <v>3</v>
      </c>
      <c r="G3" s="13">
        <v>1</v>
      </c>
      <c r="H3" s="13">
        <v>1</v>
      </c>
      <c r="I3" s="13">
        <v>6</v>
      </c>
      <c r="J3" s="13">
        <v>4</v>
      </c>
      <c r="K3" s="13">
        <v>5</v>
      </c>
      <c r="L3" s="13">
        <v>3</v>
      </c>
      <c r="M3" s="13">
        <v>2</v>
      </c>
      <c r="N3" s="13">
        <v>1</v>
      </c>
      <c r="O3" s="29">
        <f t="shared" ref="O3:O11" si="0">SUM(C3:E3)</f>
        <v>15</v>
      </c>
      <c r="P3" s="29">
        <f>SUM(D3:F3)</f>
        <v>12</v>
      </c>
      <c r="Q3" s="29">
        <f>SUM(E3:G3)</f>
        <v>8</v>
      </c>
      <c r="R3" s="29">
        <f>SUM(F3:H3)</f>
        <v>5</v>
      </c>
    </row>
    <row r="4" ht="14" customHeight="1" spans="1:18">
      <c r="A4" s="23" t="s">
        <v>10</v>
      </c>
      <c r="B4" s="6" t="s">
        <v>11</v>
      </c>
      <c r="C4" s="13">
        <v>5</v>
      </c>
      <c r="D4" s="13">
        <v>5</v>
      </c>
      <c r="E4" s="13">
        <v>3</v>
      </c>
      <c r="F4" s="13">
        <v>1</v>
      </c>
      <c r="G4" s="13">
        <v>1</v>
      </c>
      <c r="H4" s="13">
        <v>1</v>
      </c>
      <c r="I4" s="13">
        <v>2</v>
      </c>
      <c r="J4" s="13">
        <v>2</v>
      </c>
      <c r="K4" s="13">
        <v>2</v>
      </c>
      <c r="L4" s="13">
        <v>1</v>
      </c>
      <c r="M4" s="13">
        <v>1</v>
      </c>
      <c r="N4" s="13">
        <v>2</v>
      </c>
      <c r="O4" s="29">
        <f t="shared" si="0"/>
        <v>13</v>
      </c>
      <c r="P4" s="30">
        <f t="shared" ref="P4:P11" si="1">SUM(F4:H4)</f>
        <v>3</v>
      </c>
      <c r="Q4" s="29">
        <f t="shared" ref="Q4:Q11" si="2">SUM(I4:K4)</f>
        <v>6</v>
      </c>
      <c r="R4" s="29">
        <f t="shared" ref="R4:R11" si="3">SUM(L4:N4)</f>
        <v>4</v>
      </c>
    </row>
    <row r="5" spans="1:18">
      <c r="A5" s="23" t="s">
        <v>12</v>
      </c>
      <c r="B5" s="6" t="s">
        <v>13</v>
      </c>
      <c r="C5" s="13">
        <v>7</v>
      </c>
      <c r="D5" s="13">
        <v>7</v>
      </c>
      <c r="E5" s="13">
        <v>7</v>
      </c>
      <c r="F5" s="13">
        <v>1</v>
      </c>
      <c r="G5" s="13">
        <v>1</v>
      </c>
      <c r="H5" s="13">
        <v>1</v>
      </c>
      <c r="I5" s="13">
        <v>1</v>
      </c>
      <c r="J5" s="13">
        <v>1</v>
      </c>
      <c r="K5" s="13">
        <v>1</v>
      </c>
      <c r="L5" s="13">
        <v>3</v>
      </c>
      <c r="M5" s="13">
        <v>1</v>
      </c>
      <c r="N5" s="13">
        <v>1</v>
      </c>
      <c r="O5" s="29">
        <f t="shared" si="0"/>
        <v>21</v>
      </c>
      <c r="P5" s="30">
        <f t="shared" si="1"/>
        <v>3</v>
      </c>
      <c r="Q5" s="29">
        <f t="shared" si="2"/>
        <v>3</v>
      </c>
      <c r="R5" s="29">
        <f t="shared" si="3"/>
        <v>5</v>
      </c>
    </row>
    <row r="6" spans="1:18">
      <c r="A6" s="23" t="s">
        <v>14</v>
      </c>
      <c r="B6" s="6" t="s">
        <v>15</v>
      </c>
      <c r="C6" s="13">
        <v>3</v>
      </c>
      <c r="D6" s="13">
        <v>3</v>
      </c>
      <c r="E6" s="13">
        <v>3</v>
      </c>
      <c r="F6" s="13">
        <v>1</v>
      </c>
      <c r="G6" s="13">
        <v>1</v>
      </c>
      <c r="H6" s="13">
        <v>1</v>
      </c>
      <c r="I6" s="13">
        <v>2</v>
      </c>
      <c r="J6" s="13">
        <v>2</v>
      </c>
      <c r="K6" s="13">
        <v>1</v>
      </c>
      <c r="L6" s="13">
        <v>1</v>
      </c>
      <c r="M6" s="13">
        <v>2</v>
      </c>
      <c r="N6" s="13">
        <v>1</v>
      </c>
      <c r="O6" s="29">
        <f t="shared" si="0"/>
        <v>9</v>
      </c>
      <c r="P6" s="30">
        <f t="shared" si="1"/>
        <v>3</v>
      </c>
      <c r="Q6" s="29">
        <f t="shared" si="2"/>
        <v>5</v>
      </c>
      <c r="R6" s="29">
        <f t="shared" si="3"/>
        <v>4</v>
      </c>
    </row>
    <row r="7" spans="1:18">
      <c r="A7" s="23" t="s">
        <v>16</v>
      </c>
      <c r="B7" s="6" t="s">
        <v>17</v>
      </c>
      <c r="C7" s="13">
        <v>4</v>
      </c>
      <c r="D7" s="13">
        <v>5</v>
      </c>
      <c r="E7" s="13">
        <v>4</v>
      </c>
      <c r="F7" s="13">
        <v>3</v>
      </c>
      <c r="G7" s="13">
        <v>4</v>
      </c>
      <c r="H7" s="13">
        <v>3</v>
      </c>
      <c r="I7" s="13">
        <v>4</v>
      </c>
      <c r="J7" s="13">
        <v>5</v>
      </c>
      <c r="K7" s="13">
        <v>4</v>
      </c>
      <c r="L7" s="13">
        <v>1</v>
      </c>
      <c r="M7" s="13">
        <v>1</v>
      </c>
      <c r="N7" s="13">
        <v>1</v>
      </c>
      <c r="O7" s="29">
        <f t="shared" si="0"/>
        <v>13</v>
      </c>
      <c r="P7" s="30">
        <f t="shared" si="1"/>
        <v>10</v>
      </c>
      <c r="Q7" s="29">
        <f t="shared" si="2"/>
        <v>13</v>
      </c>
      <c r="R7" s="29">
        <f t="shared" si="3"/>
        <v>3</v>
      </c>
    </row>
    <row r="8" spans="1:18">
      <c r="A8" s="23" t="s">
        <v>18</v>
      </c>
      <c r="B8" s="6" t="s">
        <v>19</v>
      </c>
      <c r="C8" s="13">
        <v>4</v>
      </c>
      <c r="D8" s="13">
        <v>5</v>
      </c>
      <c r="E8" s="13">
        <v>5</v>
      </c>
      <c r="F8" s="13">
        <v>1</v>
      </c>
      <c r="G8" s="13">
        <v>3</v>
      </c>
      <c r="H8" s="13">
        <v>2</v>
      </c>
      <c r="I8" s="13">
        <v>4</v>
      </c>
      <c r="J8" s="13">
        <v>5</v>
      </c>
      <c r="K8" s="13">
        <v>4</v>
      </c>
      <c r="L8" s="13">
        <v>1</v>
      </c>
      <c r="M8" s="13">
        <v>2</v>
      </c>
      <c r="N8" s="13">
        <v>2</v>
      </c>
      <c r="O8" s="29">
        <f t="shared" si="0"/>
        <v>14</v>
      </c>
      <c r="P8" s="30">
        <f t="shared" si="1"/>
        <v>6</v>
      </c>
      <c r="Q8" s="29">
        <f t="shared" si="2"/>
        <v>13</v>
      </c>
      <c r="R8" s="29">
        <f t="shared" si="3"/>
        <v>5</v>
      </c>
    </row>
    <row r="9" spans="1:18">
      <c r="A9" s="23" t="s">
        <v>20</v>
      </c>
      <c r="B9" s="6" t="s">
        <v>21</v>
      </c>
      <c r="C9" s="13">
        <v>4</v>
      </c>
      <c r="D9" s="13">
        <v>6</v>
      </c>
      <c r="E9" s="13">
        <v>4</v>
      </c>
      <c r="F9" s="13">
        <v>1</v>
      </c>
      <c r="G9" s="13">
        <v>1</v>
      </c>
      <c r="H9" s="13">
        <v>1</v>
      </c>
      <c r="I9" s="13">
        <v>3</v>
      </c>
      <c r="J9" s="13">
        <v>1</v>
      </c>
      <c r="K9" s="13">
        <v>1</v>
      </c>
      <c r="L9" s="13">
        <v>5</v>
      </c>
      <c r="M9" s="13">
        <v>2</v>
      </c>
      <c r="N9" s="13">
        <v>2</v>
      </c>
      <c r="O9" s="29">
        <f t="shared" si="0"/>
        <v>14</v>
      </c>
      <c r="P9" s="30">
        <f t="shared" si="1"/>
        <v>3</v>
      </c>
      <c r="Q9" s="29">
        <f t="shared" si="2"/>
        <v>5</v>
      </c>
      <c r="R9" s="29">
        <f t="shared" si="3"/>
        <v>9</v>
      </c>
    </row>
    <row r="10" spans="1:18">
      <c r="A10" t="s">
        <v>22</v>
      </c>
      <c r="C10" s="24">
        <f t="shared" ref="C10:R10" si="4">AVERAGE(C3:C9)</f>
        <v>4.71428571428571</v>
      </c>
      <c r="D10" s="24">
        <f t="shared" si="4"/>
        <v>5.14285714285714</v>
      </c>
      <c r="E10" s="24">
        <f t="shared" si="4"/>
        <v>4.28571428571429</v>
      </c>
      <c r="F10" s="24">
        <f t="shared" si="4"/>
        <v>1.57142857142857</v>
      </c>
      <c r="G10" s="24">
        <f t="shared" si="4"/>
        <v>1.71428571428571</v>
      </c>
      <c r="H10" s="24">
        <f t="shared" si="4"/>
        <v>1.42857142857143</v>
      </c>
      <c r="I10" s="24">
        <f t="shared" si="4"/>
        <v>3.14285714285714</v>
      </c>
      <c r="J10" s="24">
        <f t="shared" si="4"/>
        <v>2.85714285714286</v>
      </c>
      <c r="K10" s="24">
        <f t="shared" si="4"/>
        <v>2.57142857142857</v>
      </c>
      <c r="L10" s="24">
        <f t="shared" si="4"/>
        <v>2.14285714285714</v>
      </c>
      <c r="M10" s="24">
        <f t="shared" si="4"/>
        <v>1.57142857142857</v>
      </c>
      <c r="N10" s="24">
        <f t="shared" si="4"/>
        <v>1.42857142857143</v>
      </c>
      <c r="O10" s="31">
        <f t="shared" si="4"/>
        <v>14.1428571428571</v>
      </c>
      <c r="P10" s="31">
        <f t="shared" si="4"/>
        <v>5.71428571428571</v>
      </c>
      <c r="Q10" s="31">
        <f t="shared" si="4"/>
        <v>7.57142857142857</v>
      </c>
      <c r="R10" s="31">
        <f t="shared" si="4"/>
        <v>5</v>
      </c>
    </row>
    <row r="17" spans="2:8">
      <c r="B17" s="25"/>
      <c r="G17" s="26"/>
      <c r="H17" s="26"/>
    </row>
    <row r="18" spans="7:10">
      <c r="G18" s="27"/>
      <c r="H18" s="27"/>
      <c r="I18" s="1"/>
      <c r="J18" s="26"/>
    </row>
    <row r="19" spans="7:8">
      <c r="G19" s="27"/>
      <c r="H19" s="27"/>
    </row>
  </sheetData>
  <mergeCells count="1">
    <mergeCell ref="A1:N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workbookViewId="0">
      <selection activeCell="N9" sqref="A3:N9"/>
    </sheetView>
  </sheetViews>
  <sheetFormatPr defaultColWidth="8.61261261261261" defaultRowHeight="14.1"/>
  <cols>
    <col min="1" max="1" width="9.5045045045045" customWidth="1"/>
    <col min="2" max="2" width="10.4234234234234" style="13" customWidth="1"/>
    <col min="3" max="13" width="7.95495495495495" style="13" customWidth="1"/>
    <col min="14" max="14" width="12.7837837837838" style="2"/>
    <col min="21" max="21" width="8.56756756756757" customWidth="1"/>
  </cols>
  <sheetData>
    <row r="1" s="12" customFormat="1" spans="1:14">
      <c r="A1" s="12" t="s">
        <v>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6"/>
    </row>
    <row r="2" s="14" customFormat="1" spans="1:21">
      <c r="A2" s="3" t="s">
        <v>41</v>
      </c>
      <c r="B2" s="3" t="s">
        <v>42</v>
      </c>
      <c r="C2" s="18" t="s">
        <v>43</v>
      </c>
      <c r="D2" s="18" t="s">
        <v>44</v>
      </c>
      <c r="E2" s="18" t="s">
        <v>45</v>
      </c>
      <c r="F2" s="18" t="s">
        <v>46</v>
      </c>
      <c r="G2" s="18" t="s">
        <v>47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52</v>
      </c>
      <c r="M2" s="18" t="s">
        <v>53</v>
      </c>
      <c r="N2" s="19" t="s">
        <v>54</v>
      </c>
      <c r="S2"/>
      <c r="T2"/>
      <c r="U2"/>
    </row>
    <row r="3" s="14" customFormat="1" spans="1:21">
      <c r="A3" s="3">
        <v>3</v>
      </c>
      <c r="B3" s="6" t="s">
        <v>9</v>
      </c>
      <c r="C3" s="13">
        <v>5</v>
      </c>
      <c r="D3" s="13">
        <v>4</v>
      </c>
      <c r="E3" s="13">
        <v>5</v>
      </c>
      <c r="F3" s="13">
        <v>5</v>
      </c>
      <c r="G3" s="13">
        <v>5</v>
      </c>
      <c r="H3" s="13">
        <v>5</v>
      </c>
      <c r="I3" s="13">
        <v>5</v>
      </c>
      <c r="J3" s="13">
        <v>1</v>
      </c>
      <c r="K3" s="13">
        <v>5</v>
      </c>
      <c r="L3" s="13">
        <v>5</v>
      </c>
      <c r="M3" s="13">
        <v>5</v>
      </c>
      <c r="N3" s="17">
        <f t="shared" ref="N3:N33" si="0">SUM(C3:M3)</f>
        <v>50</v>
      </c>
      <c r="S3"/>
      <c r="T3"/>
      <c r="U3"/>
    </row>
    <row r="4" s="14" customFormat="1" spans="1:21">
      <c r="A4" s="3">
        <v>4</v>
      </c>
      <c r="B4" s="6" t="s">
        <v>11</v>
      </c>
      <c r="C4" s="13">
        <v>5</v>
      </c>
      <c r="D4" s="13">
        <v>4</v>
      </c>
      <c r="E4" s="13">
        <v>5</v>
      </c>
      <c r="F4" s="13">
        <v>5</v>
      </c>
      <c r="G4" s="13">
        <v>5</v>
      </c>
      <c r="H4" s="13">
        <v>5</v>
      </c>
      <c r="I4" s="13">
        <v>5</v>
      </c>
      <c r="J4" s="13">
        <v>4</v>
      </c>
      <c r="K4" s="13">
        <v>5</v>
      </c>
      <c r="L4" s="13">
        <v>5</v>
      </c>
      <c r="M4" s="13">
        <v>5</v>
      </c>
      <c r="N4" s="17">
        <f t="shared" si="0"/>
        <v>53</v>
      </c>
      <c r="S4"/>
      <c r="T4"/>
      <c r="U4"/>
    </row>
    <row r="5" s="14" customFormat="1" spans="1:21">
      <c r="A5" s="3">
        <v>5</v>
      </c>
      <c r="B5" s="6" t="s">
        <v>13</v>
      </c>
      <c r="C5" s="13">
        <v>5</v>
      </c>
      <c r="D5" s="13">
        <v>5</v>
      </c>
      <c r="E5" s="13">
        <v>5</v>
      </c>
      <c r="F5" s="13">
        <v>5</v>
      </c>
      <c r="G5" s="13">
        <v>5</v>
      </c>
      <c r="H5" s="13">
        <v>5</v>
      </c>
      <c r="I5" s="13">
        <v>5</v>
      </c>
      <c r="J5" s="13">
        <v>5</v>
      </c>
      <c r="K5" s="13">
        <v>5</v>
      </c>
      <c r="L5" s="13">
        <v>5</v>
      </c>
      <c r="M5" s="13">
        <v>5</v>
      </c>
      <c r="N5" s="17">
        <f t="shared" si="0"/>
        <v>55</v>
      </c>
      <c r="S5"/>
      <c r="T5"/>
      <c r="U5"/>
    </row>
    <row r="6" s="14" customFormat="1" spans="1:21">
      <c r="A6" s="3">
        <v>6</v>
      </c>
      <c r="B6" s="6" t="s">
        <v>15</v>
      </c>
      <c r="C6" s="13">
        <v>5</v>
      </c>
      <c r="D6" s="13">
        <v>4</v>
      </c>
      <c r="E6" s="13">
        <v>4</v>
      </c>
      <c r="F6" s="13">
        <v>4</v>
      </c>
      <c r="G6" s="13">
        <v>5</v>
      </c>
      <c r="H6" s="13">
        <v>5</v>
      </c>
      <c r="I6" s="13">
        <v>5</v>
      </c>
      <c r="J6" s="13">
        <v>4</v>
      </c>
      <c r="K6" s="13">
        <v>5</v>
      </c>
      <c r="L6" s="13">
        <v>5</v>
      </c>
      <c r="M6" s="13">
        <v>5</v>
      </c>
      <c r="N6" s="17">
        <f t="shared" si="0"/>
        <v>51</v>
      </c>
      <c r="S6"/>
      <c r="T6"/>
      <c r="U6"/>
    </row>
    <row r="7" s="14" customFormat="1" spans="1:21">
      <c r="A7" s="3">
        <v>7</v>
      </c>
      <c r="B7" s="6" t="s">
        <v>17</v>
      </c>
      <c r="C7" s="13">
        <v>5</v>
      </c>
      <c r="D7" s="13">
        <v>5</v>
      </c>
      <c r="E7" s="13">
        <v>5</v>
      </c>
      <c r="F7" s="13">
        <v>5</v>
      </c>
      <c r="G7" s="13">
        <v>5</v>
      </c>
      <c r="H7" s="13">
        <v>5</v>
      </c>
      <c r="I7" s="13">
        <v>4</v>
      </c>
      <c r="J7" s="13">
        <v>3</v>
      </c>
      <c r="K7" s="13">
        <v>5</v>
      </c>
      <c r="L7" s="13">
        <v>5</v>
      </c>
      <c r="M7" s="13">
        <v>5</v>
      </c>
      <c r="N7" s="17">
        <f t="shared" si="0"/>
        <v>52</v>
      </c>
      <c r="S7"/>
      <c r="T7"/>
      <c r="U7"/>
    </row>
    <row r="8" s="14" customFormat="1" spans="1:21">
      <c r="A8" s="3">
        <v>8</v>
      </c>
      <c r="B8" s="6" t="s">
        <v>19</v>
      </c>
      <c r="C8" s="13">
        <v>4</v>
      </c>
      <c r="D8" s="13">
        <v>3</v>
      </c>
      <c r="E8" s="13">
        <v>5</v>
      </c>
      <c r="F8" s="13">
        <v>5</v>
      </c>
      <c r="G8" s="13">
        <v>5</v>
      </c>
      <c r="H8" s="13">
        <v>5</v>
      </c>
      <c r="I8" s="13">
        <v>5</v>
      </c>
      <c r="J8" s="13">
        <v>5</v>
      </c>
      <c r="K8" s="13">
        <v>5</v>
      </c>
      <c r="L8" s="13">
        <v>5</v>
      </c>
      <c r="M8" s="13">
        <v>5</v>
      </c>
      <c r="N8" s="17">
        <f t="shared" si="0"/>
        <v>52</v>
      </c>
      <c r="S8"/>
      <c r="T8"/>
      <c r="U8"/>
    </row>
    <row r="9" s="14" customFormat="1" spans="1:21">
      <c r="A9" s="3">
        <v>9</v>
      </c>
      <c r="B9" s="6" t="s">
        <v>21</v>
      </c>
      <c r="C9" s="13">
        <v>5</v>
      </c>
      <c r="D9" s="13">
        <v>4</v>
      </c>
      <c r="E9" s="13">
        <v>5</v>
      </c>
      <c r="F9" s="13">
        <v>3</v>
      </c>
      <c r="G9" s="13">
        <v>5</v>
      </c>
      <c r="H9" s="13">
        <v>5</v>
      </c>
      <c r="I9" s="13">
        <v>5</v>
      </c>
      <c r="J9" s="13">
        <v>4</v>
      </c>
      <c r="K9" s="13">
        <v>5</v>
      </c>
      <c r="L9" s="13">
        <v>5</v>
      </c>
      <c r="M9" s="13">
        <v>5</v>
      </c>
      <c r="N9" s="17">
        <f t="shared" si="0"/>
        <v>51</v>
      </c>
      <c r="S9"/>
      <c r="T9"/>
      <c r="U9"/>
    </row>
    <row r="12" spans="2:2">
      <c r="B12"/>
    </row>
    <row r="13" spans="2:2">
      <c r="B13"/>
    </row>
    <row r="14" spans="2:2">
      <c r="B14"/>
    </row>
    <row r="15" spans="2:2">
      <c r="B15"/>
    </row>
    <row r="16" spans="2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</sheetData>
  <autoFilter ref="A2:U9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H14" sqref="H14"/>
    </sheetView>
  </sheetViews>
  <sheetFormatPr defaultColWidth="8.61261261261261" defaultRowHeight="14.1"/>
  <cols>
    <col min="2" max="2" width="10.4234234234234" style="13" customWidth="1"/>
    <col min="3" max="12" width="7.95495495495495" style="13" customWidth="1"/>
    <col min="13" max="14" width="13.981981981982" style="2" customWidth="1"/>
  </cols>
  <sheetData>
    <row r="1" s="12" customFormat="1" spans="1:14">
      <c r="A1" s="14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6"/>
      <c r="N1" s="16"/>
    </row>
    <row r="2" spans="1:14">
      <c r="A2" s="3" t="s">
        <v>41</v>
      </c>
      <c r="B2" s="3" t="s">
        <v>42</v>
      </c>
      <c r="C2" s="15" t="s">
        <v>56</v>
      </c>
      <c r="D2" s="15" t="s">
        <v>57</v>
      </c>
      <c r="E2" s="15" t="s">
        <v>58</v>
      </c>
      <c r="F2" s="15" t="s">
        <v>59</v>
      </c>
      <c r="G2" s="15" t="s">
        <v>60</v>
      </c>
      <c r="H2" s="15" t="s">
        <v>61</v>
      </c>
      <c r="I2" s="15" t="s">
        <v>62</v>
      </c>
      <c r="J2" s="15" t="s">
        <v>63</v>
      </c>
      <c r="K2" s="15" t="s">
        <v>64</v>
      </c>
      <c r="L2" s="15" t="s">
        <v>65</v>
      </c>
      <c r="M2" s="2" t="s">
        <v>66</v>
      </c>
      <c r="N2" s="2" t="s">
        <v>67</v>
      </c>
    </row>
    <row r="3" spans="1:14">
      <c r="A3" s="3">
        <v>3</v>
      </c>
      <c r="B3" s="6" t="s">
        <v>9</v>
      </c>
      <c r="C3" s="13">
        <v>5</v>
      </c>
      <c r="D3" s="13">
        <v>1</v>
      </c>
      <c r="E3" s="13">
        <v>5</v>
      </c>
      <c r="F3" s="13">
        <v>3</v>
      </c>
      <c r="G3" s="13">
        <v>1</v>
      </c>
      <c r="H3" s="13">
        <v>5</v>
      </c>
      <c r="I3" s="13">
        <v>2</v>
      </c>
      <c r="J3" s="13">
        <v>1</v>
      </c>
      <c r="K3" s="13">
        <v>5</v>
      </c>
      <c r="L3" s="13">
        <v>5</v>
      </c>
      <c r="M3" s="17">
        <f t="shared" ref="M3:M11" si="0">SUM(C3:G3)</f>
        <v>15</v>
      </c>
      <c r="N3" s="17">
        <f t="shared" ref="N3:N11" si="1">SUM(H3:L3)</f>
        <v>18</v>
      </c>
    </row>
    <row r="4" spans="1:14">
      <c r="A4" s="3">
        <v>4</v>
      </c>
      <c r="B4" s="6" t="s">
        <v>11</v>
      </c>
      <c r="C4" s="13">
        <v>5</v>
      </c>
      <c r="D4" s="13">
        <v>2</v>
      </c>
      <c r="E4" s="13">
        <v>4</v>
      </c>
      <c r="F4" s="13">
        <v>3</v>
      </c>
      <c r="G4" s="13">
        <v>4</v>
      </c>
      <c r="H4" s="13">
        <v>4</v>
      </c>
      <c r="I4" s="13">
        <v>4</v>
      </c>
      <c r="J4" s="13">
        <v>4</v>
      </c>
      <c r="K4" s="13">
        <v>4</v>
      </c>
      <c r="L4" s="13">
        <v>3</v>
      </c>
      <c r="M4" s="17">
        <f t="shared" si="0"/>
        <v>18</v>
      </c>
      <c r="N4" s="17">
        <f t="shared" si="1"/>
        <v>19</v>
      </c>
    </row>
    <row r="5" spans="1:14">
      <c r="A5" s="3">
        <v>5</v>
      </c>
      <c r="B5" s="6" t="s">
        <v>13</v>
      </c>
      <c r="C5" s="13">
        <v>5</v>
      </c>
      <c r="D5" s="13">
        <v>1</v>
      </c>
      <c r="E5" s="13">
        <v>5</v>
      </c>
      <c r="F5" s="13">
        <v>1</v>
      </c>
      <c r="G5" s="13">
        <v>5</v>
      </c>
      <c r="H5" s="13">
        <v>1</v>
      </c>
      <c r="I5" s="13">
        <v>5</v>
      </c>
      <c r="J5" s="13">
        <v>1</v>
      </c>
      <c r="K5" s="13">
        <v>5</v>
      </c>
      <c r="L5" s="13">
        <v>1</v>
      </c>
      <c r="M5" s="17">
        <f t="shared" si="0"/>
        <v>17</v>
      </c>
      <c r="N5" s="17">
        <f t="shared" si="1"/>
        <v>13</v>
      </c>
    </row>
    <row r="6" spans="1:14">
      <c r="A6" s="3">
        <v>6</v>
      </c>
      <c r="B6" s="6" t="s">
        <v>15</v>
      </c>
      <c r="C6" s="13">
        <v>4</v>
      </c>
      <c r="D6" s="13">
        <v>1</v>
      </c>
      <c r="E6" s="13">
        <v>2</v>
      </c>
      <c r="F6" s="13">
        <v>3</v>
      </c>
      <c r="G6" s="13">
        <v>3</v>
      </c>
      <c r="H6" s="13">
        <v>1</v>
      </c>
      <c r="I6" s="13">
        <v>1</v>
      </c>
      <c r="J6" s="13">
        <v>3</v>
      </c>
      <c r="K6" s="13">
        <v>3</v>
      </c>
      <c r="L6" s="13">
        <v>3</v>
      </c>
      <c r="M6" s="17">
        <f t="shared" si="0"/>
        <v>13</v>
      </c>
      <c r="N6" s="17">
        <f t="shared" si="1"/>
        <v>11</v>
      </c>
    </row>
    <row r="7" spans="1:14">
      <c r="A7" s="3">
        <v>7</v>
      </c>
      <c r="B7" s="6" t="s">
        <v>17</v>
      </c>
      <c r="C7" s="13">
        <v>5</v>
      </c>
      <c r="D7" s="13">
        <v>3</v>
      </c>
      <c r="E7" s="13">
        <v>3</v>
      </c>
      <c r="F7" s="13">
        <v>2</v>
      </c>
      <c r="G7" s="13">
        <v>1</v>
      </c>
      <c r="H7" s="13">
        <v>3</v>
      </c>
      <c r="I7" s="13">
        <v>1</v>
      </c>
      <c r="J7" s="13">
        <v>5</v>
      </c>
      <c r="K7" s="13">
        <v>5</v>
      </c>
      <c r="L7" s="13">
        <v>5</v>
      </c>
      <c r="M7" s="17">
        <f t="shared" si="0"/>
        <v>14</v>
      </c>
      <c r="N7" s="17">
        <f t="shared" si="1"/>
        <v>19</v>
      </c>
    </row>
    <row r="8" spans="1:14">
      <c r="A8" s="3">
        <v>8</v>
      </c>
      <c r="B8" s="6" t="s">
        <v>19</v>
      </c>
      <c r="C8" s="13">
        <v>4</v>
      </c>
      <c r="D8" s="13">
        <v>2</v>
      </c>
      <c r="E8" s="13">
        <v>4</v>
      </c>
      <c r="F8" s="13">
        <v>2</v>
      </c>
      <c r="G8" s="13">
        <v>4</v>
      </c>
      <c r="H8" s="13">
        <v>4</v>
      </c>
      <c r="I8" s="13">
        <v>4</v>
      </c>
      <c r="J8" s="13">
        <v>5</v>
      </c>
      <c r="K8" s="13">
        <v>4</v>
      </c>
      <c r="L8" s="13">
        <v>4</v>
      </c>
      <c r="M8" s="17">
        <f t="shared" si="0"/>
        <v>16</v>
      </c>
      <c r="N8" s="17">
        <f t="shared" si="1"/>
        <v>21</v>
      </c>
    </row>
    <row r="9" spans="1:14">
      <c r="A9" s="3">
        <v>9</v>
      </c>
      <c r="B9" s="6" t="s">
        <v>21</v>
      </c>
      <c r="C9" s="13">
        <v>5</v>
      </c>
      <c r="D9" s="13">
        <v>1</v>
      </c>
      <c r="E9" s="13">
        <v>4</v>
      </c>
      <c r="F9" s="13">
        <v>2</v>
      </c>
      <c r="G9" s="13">
        <v>5</v>
      </c>
      <c r="H9" s="13">
        <v>1</v>
      </c>
      <c r="I9" s="13">
        <v>4</v>
      </c>
      <c r="J9" s="13">
        <v>1</v>
      </c>
      <c r="K9" s="13">
        <v>4</v>
      </c>
      <c r="L9" s="13">
        <v>2</v>
      </c>
      <c r="M9" s="17">
        <f t="shared" si="0"/>
        <v>17</v>
      </c>
      <c r="N9" s="17">
        <f t="shared" si="1"/>
        <v>12</v>
      </c>
    </row>
  </sheetData>
  <autoFilter ref="A2:X9">
    <extLst/>
  </autoFilter>
  <mergeCells count="1">
    <mergeCell ref="A1:L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workbookViewId="0">
      <selection activeCell="Z16" sqref="Z16"/>
    </sheetView>
  </sheetViews>
  <sheetFormatPr defaultColWidth="8.61261261261261" defaultRowHeight="14.1" outlineLevelRow="7"/>
  <cols>
    <col min="3" max="20" width="7.95495495495495" style="1" hidden="1" customWidth="1"/>
    <col min="21" max="21" width="13.972972972973" style="1" customWidth="1"/>
    <col min="22" max="22" width="9.48648648648649" style="1" customWidth="1"/>
    <col min="23" max="23" width="13.972972972973" style="1" customWidth="1"/>
    <col min="24" max="24" width="13.972972972973" style="2" customWidth="1"/>
    <col min="25" max="25" width="12.8918918918919" style="2" customWidth="1"/>
  </cols>
  <sheetData>
    <row r="1" spans="1:25">
      <c r="A1" s="3" t="s">
        <v>41</v>
      </c>
      <c r="B1" s="3" t="s">
        <v>2</v>
      </c>
      <c r="C1" s="4" t="s">
        <v>68</v>
      </c>
      <c r="D1" s="4" t="s">
        <v>69</v>
      </c>
      <c r="E1" s="4" t="s">
        <v>70</v>
      </c>
      <c r="F1" s="4" t="s">
        <v>71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  <c r="L1" s="8" t="s">
        <v>77</v>
      </c>
      <c r="M1" s="4" t="s">
        <v>78</v>
      </c>
      <c r="N1" s="8" t="s">
        <v>79</v>
      </c>
      <c r="O1" s="8" t="s">
        <v>80</v>
      </c>
      <c r="P1" s="8" t="s">
        <v>81</v>
      </c>
      <c r="Q1" s="8" t="s">
        <v>82</v>
      </c>
      <c r="R1" s="8" t="s">
        <v>83</v>
      </c>
      <c r="S1" s="8" t="s">
        <v>84</v>
      </c>
      <c r="T1" s="8" t="s">
        <v>85</v>
      </c>
      <c r="U1" s="9" t="s">
        <v>86</v>
      </c>
      <c r="V1" s="9" t="s">
        <v>87</v>
      </c>
      <c r="W1" s="9" t="s">
        <v>88</v>
      </c>
      <c r="X1" s="10" t="s">
        <v>89</v>
      </c>
      <c r="Y1" s="9" t="s">
        <v>90</v>
      </c>
    </row>
    <row r="2" spans="1:25">
      <c r="A2" s="3">
        <v>3</v>
      </c>
      <c r="B2" s="6" t="s">
        <v>9</v>
      </c>
      <c r="C2" s="7">
        <v>3</v>
      </c>
      <c r="D2" s="7">
        <v>4</v>
      </c>
      <c r="E2" s="7">
        <v>4</v>
      </c>
      <c r="F2" s="7">
        <v>4</v>
      </c>
      <c r="G2" s="7">
        <v>2</v>
      </c>
      <c r="H2" s="7">
        <v>4</v>
      </c>
      <c r="I2" s="7">
        <v>1</v>
      </c>
      <c r="J2" s="7">
        <v>4</v>
      </c>
      <c r="K2" s="7">
        <v>4</v>
      </c>
      <c r="L2" s="7">
        <v>4</v>
      </c>
      <c r="M2" s="7">
        <v>1</v>
      </c>
      <c r="N2" s="7">
        <v>4</v>
      </c>
      <c r="O2" s="7">
        <v>4</v>
      </c>
      <c r="P2" s="7">
        <v>4</v>
      </c>
      <c r="Q2" s="7">
        <v>1</v>
      </c>
      <c r="R2" s="7">
        <v>4</v>
      </c>
      <c r="S2" s="7">
        <v>4</v>
      </c>
      <c r="T2" s="7">
        <v>4</v>
      </c>
      <c r="U2" s="11">
        <f>D2+F2+O2+S2</f>
        <v>16</v>
      </c>
      <c r="V2" s="11">
        <f>C2+H2+J2+R2</f>
        <v>15</v>
      </c>
      <c r="W2" s="11">
        <f>E2+I2+L2+M2+Q2</f>
        <v>11</v>
      </c>
      <c r="X2" s="9">
        <f>U2+V2+W2</f>
        <v>42</v>
      </c>
      <c r="Y2" s="9">
        <f>G2+K2+N2+P2+T2</f>
        <v>18</v>
      </c>
    </row>
    <row r="3" spans="1:25">
      <c r="A3" s="3">
        <v>4</v>
      </c>
      <c r="B3" s="6" t="s">
        <v>11</v>
      </c>
      <c r="C3" s="7">
        <v>4</v>
      </c>
      <c r="D3" s="7">
        <v>3</v>
      </c>
      <c r="E3" s="7">
        <v>3</v>
      </c>
      <c r="F3" s="7">
        <v>3</v>
      </c>
      <c r="G3" s="7">
        <v>3</v>
      </c>
      <c r="H3" s="7">
        <v>3</v>
      </c>
      <c r="I3" s="7">
        <v>2</v>
      </c>
      <c r="J3" s="7">
        <v>3</v>
      </c>
      <c r="K3" s="7">
        <v>2</v>
      </c>
      <c r="L3" s="7">
        <v>3</v>
      </c>
      <c r="M3" s="7">
        <v>2</v>
      </c>
      <c r="N3" s="7">
        <v>3</v>
      </c>
      <c r="O3" s="7">
        <v>3</v>
      </c>
      <c r="P3" s="7">
        <v>3</v>
      </c>
      <c r="Q3" s="7">
        <v>3</v>
      </c>
      <c r="R3" s="7">
        <v>3</v>
      </c>
      <c r="S3" s="7">
        <v>4</v>
      </c>
      <c r="T3" s="7">
        <v>2</v>
      </c>
      <c r="U3" s="11">
        <f t="shared" ref="U3:U8" si="0">D3+F3+O3+S3</f>
        <v>13</v>
      </c>
      <c r="V3" s="11">
        <f t="shared" ref="V3:V8" si="1">C3+H3+J3+R3</f>
        <v>13</v>
      </c>
      <c r="W3" s="11">
        <f t="shared" ref="W3:W8" si="2">E3+I3+L3+M3+Q3</f>
        <v>13</v>
      </c>
      <c r="X3" s="9">
        <f t="shared" ref="X3:X8" si="3">U3+V3+W3</f>
        <v>39</v>
      </c>
      <c r="Y3" s="9">
        <f t="shared" ref="Y3:Y8" si="4">G3+K3+N3+P3+T3</f>
        <v>13</v>
      </c>
    </row>
    <row r="4" spans="1:25">
      <c r="A4" s="3">
        <v>5</v>
      </c>
      <c r="B4" s="6" t="s">
        <v>13</v>
      </c>
      <c r="U4" s="11"/>
      <c r="V4" s="11"/>
      <c r="W4" s="11"/>
      <c r="X4" s="9"/>
      <c r="Y4" s="9"/>
    </row>
    <row r="5" spans="1:25">
      <c r="A5" s="3">
        <v>6</v>
      </c>
      <c r="B5" s="6" t="s">
        <v>15</v>
      </c>
      <c r="C5" s="7">
        <v>3</v>
      </c>
      <c r="D5" s="7">
        <v>4</v>
      </c>
      <c r="E5" s="7">
        <v>3</v>
      </c>
      <c r="F5" s="7">
        <v>3</v>
      </c>
      <c r="G5" s="7">
        <v>3</v>
      </c>
      <c r="H5" s="7">
        <v>3</v>
      </c>
      <c r="I5" s="7">
        <v>3</v>
      </c>
      <c r="J5" s="7">
        <v>3</v>
      </c>
      <c r="K5" s="7">
        <v>3</v>
      </c>
      <c r="L5" s="7">
        <v>3</v>
      </c>
      <c r="M5" s="7">
        <v>3</v>
      </c>
      <c r="N5" s="7">
        <v>3</v>
      </c>
      <c r="O5" s="7">
        <v>3</v>
      </c>
      <c r="P5" s="7">
        <v>3</v>
      </c>
      <c r="Q5" s="7">
        <v>2</v>
      </c>
      <c r="R5" s="7">
        <v>2</v>
      </c>
      <c r="S5" s="7">
        <v>3</v>
      </c>
      <c r="T5" s="7">
        <v>3</v>
      </c>
      <c r="U5" s="11">
        <f t="shared" si="0"/>
        <v>13</v>
      </c>
      <c r="V5" s="11">
        <f t="shared" si="1"/>
        <v>11</v>
      </c>
      <c r="W5" s="11">
        <f t="shared" si="2"/>
        <v>14</v>
      </c>
      <c r="X5" s="9">
        <f t="shared" si="3"/>
        <v>38</v>
      </c>
      <c r="Y5" s="9">
        <f t="shared" si="4"/>
        <v>15</v>
      </c>
    </row>
    <row r="6" spans="1:25">
      <c r="A6" s="3">
        <v>7</v>
      </c>
      <c r="B6" s="6" t="s">
        <v>17</v>
      </c>
      <c r="C6" s="7">
        <v>3</v>
      </c>
      <c r="D6" s="7">
        <v>3</v>
      </c>
      <c r="E6" s="7">
        <v>4</v>
      </c>
      <c r="F6" s="7">
        <v>4</v>
      </c>
      <c r="G6" s="7">
        <v>3</v>
      </c>
      <c r="H6" s="7">
        <v>2</v>
      </c>
      <c r="I6" s="7">
        <v>2</v>
      </c>
      <c r="J6" s="7">
        <v>3</v>
      </c>
      <c r="K6" s="7">
        <v>3</v>
      </c>
      <c r="L6" s="7">
        <v>3</v>
      </c>
      <c r="M6" s="7">
        <v>2</v>
      </c>
      <c r="N6" s="7">
        <v>2</v>
      </c>
      <c r="O6" s="7">
        <v>3</v>
      </c>
      <c r="P6" s="7">
        <v>2</v>
      </c>
      <c r="Q6" s="7">
        <v>4</v>
      </c>
      <c r="R6" s="7">
        <v>3</v>
      </c>
      <c r="S6" s="7">
        <v>4</v>
      </c>
      <c r="T6" s="7">
        <v>3</v>
      </c>
      <c r="U6" s="11">
        <f t="shared" si="0"/>
        <v>14</v>
      </c>
      <c r="V6" s="11">
        <f t="shared" si="1"/>
        <v>11</v>
      </c>
      <c r="W6" s="11">
        <f t="shared" si="2"/>
        <v>15</v>
      </c>
      <c r="X6" s="9">
        <f t="shared" si="3"/>
        <v>40</v>
      </c>
      <c r="Y6" s="9">
        <f t="shared" si="4"/>
        <v>13</v>
      </c>
    </row>
    <row r="7" spans="1:25">
      <c r="A7" s="3">
        <v>8</v>
      </c>
      <c r="B7" s="6" t="s">
        <v>19</v>
      </c>
      <c r="C7" s="7">
        <v>4</v>
      </c>
      <c r="D7" s="7">
        <v>4</v>
      </c>
      <c r="E7" s="7">
        <v>4</v>
      </c>
      <c r="F7" s="7">
        <v>4</v>
      </c>
      <c r="G7" s="7">
        <v>4</v>
      </c>
      <c r="H7" s="7">
        <v>4</v>
      </c>
      <c r="I7" s="7">
        <v>4</v>
      </c>
      <c r="J7" s="7">
        <v>4</v>
      </c>
      <c r="K7" s="7">
        <v>3</v>
      </c>
      <c r="L7" s="7">
        <v>4</v>
      </c>
      <c r="M7" s="7">
        <v>4</v>
      </c>
      <c r="N7" s="7">
        <v>3</v>
      </c>
      <c r="O7" s="7">
        <v>4</v>
      </c>
      <c r="P7" s="7">
        <v>4</v>
      </c>
      <c r="Q7" s="7">
        <v>4</v>
      </c>
      <c r="R7" s="7">
        <v>4</v>
      </c>
      <c r="S7" s="7">
        <v>4</v>
      </c>
      <c r="T7" s="7">
        <v>4</v>
      </c>
      <c r="U7" s="11">
        <f t="shared" si="0"/>
        <v>16</v>
      </c>
      <c r="V7" s="11">
        <f t="shared" si="1"/>
        <v>16</v>
      </c>
      <c r="W7" s="11">
        <f t="shared" si="2"/>
        <v>20</v>
      </c>
      <c r="X7" s="9">
        <f t="shared" si="3"/>
        <v>52</v>
      </c>
      <c r="Y7" s="9">
        <f t="shared" si="4"/>
        <v>18</v>
      </c>
    </row>
    <row r="8" spans="1:25">
      <c r="A8" s="3">
        <v>9</v>
      </c>
      <c r="B8" s="6" t="s">
        <v>21</v>
      </c>
      <c r="C8" s="7">
        <v>4</v>
      </c>
      <c r="D8" s="7">
        <v>3</v>
      </c>
      <c r="E8" s="7">
        <v>4</v>
      </c>
      <c r="F8" s="7">
        <v>3</v>
      </c>
      <c r="G8" s="7">
        <v>3</v>
      </c>
      <c r="H8" s="7">
        <v>3</v>
      </c>
      <c r="I8" s="7">
        <v>2</v>
      </c>
      <c r="J8" s="7">
        <v>4</v>
      </c>
      <c r="K8" s="7">
        <v>3</v>
      </c>
      <c r="L8" s="7">
        <v>4</v>
      </c>
      <c r="M8" s="7">
        <v>4</v>
      </c>
      <c r="N8" s="7">
        <v>4</v>
      </c>
      <c r="O8" s="7">
        <v>4</v>
      </c>
      <c r="P8" s="7">
        <v>4</v>
      </c>
      <c r="Q8" s="7">
        <v>4</v>
      </c>
      <c r="R8" s="7">
        <v>4</v>
      </c>
      <c r="S8" s="7">
        <v>4</v>
      </c>
      <c r="T8" s="7">
        <v>4</v>
      </c>
      <c r="U8" s="11">
        <f t="shared" si="0"/>
        <v>14</v>
      </c>
      <c r="V8" s="11">
        <f t="shared" si="1"/>
        <v>15</v>
      </c>
      <c r="W8" s="11">
        <f t="shared" si="2"/>
        <v>18</v>
      </c>
      <c r="X8" s="9">
        <f t="shared" si="3"/>
        <v>47</v>
      </c>
      <c r="Y8" s="9">
        <f t="shared" si="4"/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实验材料</vt:lpstr>
      <vt:lpstr>实验条件</vt:lpstr>
      <vt:lpstr>运教关系</vt:lpstr>
      <vt:lpstr>教练领导方式</vt:lpstr>
      <vt:lpstr>趋近动机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sunny</cp:lastModifiedBy>
  <dcterms:created xsi:type="dcterms:W3CDTF">2022-07-21T01:30:00Z</dcterms:created>
  <dcterms:modified xsi:type="dcterms:W3CDTF">2022-10-07T09:39:19Z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D9E4900C435B4EAEA454113723D057CA</vt:lpwstr>
  </property>
  <property fmtid="{D5CDD505-2E9C-101B-9397-08002B2CF9AE}" pid="3" name="KSOProductBuildVer">
    <vt:lpwstr>2052-11.1.0.12358</vt:lpwstr>
  </property>
  <property fmtid="{D5CDD505-2E9C-101B-9397-08002B2CF9AE}" pid="4" name="KSOReadingLayout">
    <vt:bool>true</vt:bool>
  </property>
</Properties>
</file>